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2bc908a1ec10db30/Desktop/"/>
    </mc:Choice>
  </mc:AlternateContent>
  <xr:revisionPtr revIDLastSave="0" documentId="8_{548E2948-72AF-41F5-8AE2-68D7E763AD1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ashboard" sheetId="1" r:id="rId1"/>
    <sheet name="Sample Data" sheetId="2" r:id="rId2"/>
    <sheet name="Analysis" sheetId="3" r:id="rId3"/>
    <sheet name="Charts" sheetId="4" r:id="rId4"/>
    <sheet name="Project Notes" sheetId="5" r:id="rId5"/>
  </sheets>
  <definedNames>
    <definedName name="_xlnm._FilterDatabase" localSheetId="1" hidden="1">'Sample Data'!$A$3:$L$123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1" i="3" l="1"/>
  <c r="C51" i="3"/>
  <c r="D51" i="3"/>
  <c r="E51" i="3"/>
  <c r="B50" i="3"/>
  <c r="C50" i="3"/>
  <c r="D50" i="3"/>
  <c r="E50" i="3"/>
  <c r="B49" i="3"/>
  <c r="C49" i="3"/>
  <c r="D49" i="3"/>
  <c r="E49" i="3"/>
  <c r="B48" i="3"/>
  <c r="C48" i="3"/>
  <c r="D48" i="3"/>
  <c r="E48" i="3"/>
  <c r="B47" i="3"/>
  <c r="C47" i="3"/>
  <c r="D47" i="3"/>
  <c r="E47" i="3"/>
  <c r="B46" i="3"/>
  <c r="C46" i="3"/>
  <c r="D46" i="3"/>
  <c r="E46" i="3"/>
  <c r="B45" i="3"/>
  <c r="C45" i="3"/>
  <c r="D45" i="3"/>
  <c r="E45" i="3"/>
  <c r="B44" i="3"/>
  <c r="C44" i="3"/>
  <c r="D44" i="3"/>
  <c r="E44" i="3"/>
  <c r="B43" i="3"/>
  <c r="C43" i="3"/>
  <c r="D43" i="3"/>
  <c r="E43" i="3"/>
  <c r="B42" i="3"/>
  <c r="C42" i="3"/>
  <c r="D42" i="3"/>
  <c r="E42" i="3"/>
  <c r="B41" i="3"/>
  <c r="C41" i="3"/>
  <c r="D41" i="3"/>
  <c r="E41" i="3"/>
  <c r="B40" i="3"/>
  <c r="C40" i="3"/>
  <c r="D40" i="3"/>
  <c r="E40" i="3"/>
  <c r="B39" i="3"/>
  <c r="C39" i="3"/>
  <c r="D39" i="3"/>
  <c r="E39" i="3"/>
  <c r="B38" i="3"/>
  <c r="C38" i="3"/>
  <c r="D38" i="3"/>
  <c r="E38" i="3"/>
  <c r="B37" i="3"/>
  <c r="C37" i="3"/>
  <c r="D37" i="3"/>
  <c r="E37" i="3"/>
  <c r="B36" i="3"/>
  <c r="C36" i="3"/>
  <c r="D36" i="3"/>
  <c r="E36" i="3"/>
  <c r="B35" i="3"/>
  <c r="C35" i="3"/>
  <c r="D35" i="3"/>
  <c r="E35" i="3"/>
  <c r="B34" i="3"/>
  <c r="C34" i="3"/>
  <c r="D34" i="3"/>
  <c r="E34" i="3"/>
  <c r="B33" i="3"/>
  <c r="C33" i="3"/>
  <c r="D33" i="3"/>
  <c r="E33" i="3"/>
  <c r="B32" i="3"/>
  <c r="C32" i="3"/>
  <c r="D32" i="3"/>
  <c r="E32" i="3"/>
  <c r="B31" i="3"/>
  <c r="C31" i="3"/>
  <c r="D31" i="3"/>
  <c r="E31" i="3"/>
  <c r="B30" i="3"/>
  <c r="C30" i="3"/>
  <c r="D30" i="3"/>
  <c r="E30" i="3"/>
  <c r="B29" i="3"/>
  <c r="C29" i="3"/>
  <c r="D29" i="3"/>
  <c r="E29" i="3"/>
  <c r="B28" i="3"/>
  <c r="C28" i="3"/>
  <c r="D28" i="3"/>
  <c r="E28" i="3"/>
  <c r="B27" i="3"/>
  <c r="C27" i="3"/>
  <c r="D27" i="3"/>
  <c r="E27" i="3"/>
  <c r="B26" i="3"/>
  <c r="C26" i="3"/>
  <c r="D26" i="3"/>
  <c r="E26" i="3"/>
  <c r="B25" i="3"/>
  <c r="C25" i="3"/>
  <c r="D25" i="3"/>
  <c r="E25" i="3"/>
  <c r="B24" i="3"/>
  <c r="C24" i="3"/>
  <c r="D24" i="3"/>
  <c r="E24" i="3"/>
  <c r="B23" i="3"/>
  <c r="C23" i="3"/>
  <c r="D23" i="3"/>
  <c r="E23" i="3"/>
  <c r="B22" i="3"/>
  <c r="C22" i="3"/>
  <c r="D22" i="3"/>
  <c r="E22" i="3"/>
  <c r="B18" i="3"/>
  <c r="C18" i="3"/>
  <c r="B17" i="3"/>
  <c r="C17" i="3"/>
  <c r="B16" i="3"/>
  <c r="C16" i="3"/>
  <c r="B15" i="3"/>
  <c r="C15" i="3"/>
  <c r="B11" i="3"/>
  <c r="C11" i="3"/>
  <c r="D11" i="3"/>
  <c r="E11" i="3"/>
  <c r="F11" i="3"/>
  <c r="B10" i="3"/>
  <c r="C10" i="3"/>
  <c r="D10" i="3"/>
  <c r="E10" i="3"/>
  <c r="F10" i="3"/>
  <c r="B9" i="3"/>
  <c r="C9" i="3"/>
  <c r="D9" i="3"/>
  <c r="E9" i="3"/>
  <c r="F9" i="3"/>
  <c r="B8" i="3"/>
  <c r="C8" i="3"/>
  <c r="D8" i="3"/>
  <c r="E8" i="3"/>
  <c r="F8" i="3"/>
  <c r="G4" i="3"/>
  <c r="E4" i="3"/>
  <c r="C4" i="3"/>
  <c r="A4" i="3"/>
  <c r="J6" i="1"/>
  <c r="G6" i="1"/>
  <c r="D6" i="1"/>
  <c r="A6" i="1"/>
</calcChain>
</file>

<file path=xl/sharedStrings.xml><?xml version="1.0" encoding="utf-8"?>
<sst xmlns="http://schemas.openxmlformats.org/spreadsheetml/2006/main" count="331" uniqueCount="89">
  <si>
    <t>CAMPUS ENERGY SAVING SYSTEM — EXCEL DASHBOARD</t>
  </si>
  <si>
    <t>Measure → Analyze → Automate → Save</t>
  </si>
  <si>
    <t>Total Before</t>
  </si>
  <si>
    <t>Total After</t>
  </si>
  <si>
    <t>Energy Saved</t>
  </si>
  <si>
    <t>Overall Saving</t>
  </si>
  <si>
    <t>KEY TRENDS TO PRESENT</t>
  </si>
  <si>
    <t>ENGINEERING INTERPRETATION</t>
  </si>
  <si>
    <t>1. Before vs after smart control shows the measurable effect.</t>
  </si>
  <si>
    <t>SENSE</t>
  </si>
  <si>
    <t>PIR occupancy + LDR daylight + temperature + smart meter</t>
  </si>
  <si>
    <t>2. Rank zones to identify the highest energy-consuming area.</t>
  </si>
  <si>
    <t>ANALYZE</t>
  </si>
  <si>
    <t>kWh + occupancy + runtime + peak demand</t>
  </si>
  <si>
    <t>3. Compare lighting, fans, HVAC and plug/lab loads.</t>
  </si>
  <si>
    <t>ACT</t>
  </si>
  <si>
    <t>Smart relays, dimming, HVAC schedules</t>
  </si>
  <si>
    <t>4. Link occupancy with energy to detect avoidable runtime.</t>
  </si>
  <si>
    <t>VERIFY</t>
  </si>
  <si>
    <t>Measure before/after and saving %</t>
  </si>
  <si>
    <t>5. Track daily patterns and peak periods.</t>
  </si>
  <si>
    <t>IMPROVE</t>
  </si>
  <si>
    <t>Tune rules and scale from one block to campus</t>
  </si>
  <si>
    <t>6. Report kWh saved and saving % instead of vague claims.</t>
  </si>
  <si>
    <t>CAMPUS ENERGY SAVING SYSTEM — SAMPLE DATA</t>
  </si>
  <si>
    <t>Date</t>
  </si>
  <si>
    <t>Day</t>
  </si>
  <si>
    <t>Zone</t>
  </si>
  <si>
    <t>Occupancy (%)</t>
  </si>
  <si>
    <t>Lighting (kWh)</t>
  </si>
  <si>
    <t>Fans (kWh)</t>
  </si>
  <si>
    <t>HVAC (kWh)</t>
  </si>
  <si>
    <t>Plug/Lab Loads (kWh)</t>
  </si>
  <si>
    <t>Total Before (kWh)</t>
  </si>
  <si>
    <t>Smart Control Saving (kWh)</t>
  </si>
  <si>
    <t>Total After (kWh)</t>
  </si>
  <si>
    <t>Saving (%)</t>
  </si>
  <si>
    <t>Saturday</t>
  </si>
  <si>
    <t>Classroom Block</t>
  </si>
  <si>
    <t>Laboratory</t>
  </si>
  <si>
    <t>Hostel</t>
  </si>
  <si>
    <t>Library/Admin</t>
  </si>
  <si>
    <t>Sunday</t>
  </si>
  <si>
    <t>Monday</t>
  </si>
  <si>
    <t>Tuesday</t>
  </si>
  <si>
    <t>Wednesday</t>
  </si>
  <si>
    <t>Thursday</t>
  </si>
  <si>
    <t>Friday</t>
  </si>
  <si>
    <t>ANALYSIS — IMPORTANT ENERGY TRENDS</t>
  </si>
  <si>
    <t>Energy Saved (kWh)</t>
  </si>
  <si>
    <t>Overall Saving (%)</t>
  </si>
  <si>
    <t>Before (kWh)</t>
  </si>
  <si>
    <t>After (kWh)</t>
  </si>
  <si>
    <t>Saved (kWh)</t>
  </si>
  <si>
    <t>Interpretation</t>
  </si>
  <si>
    <t>Energy Component</t>
  </si>
  <si>
    <t>Total (kWh)</t>
  </si>
  <si>
    <t>Share (%)</t>
  </si>
  <si>
    <t>Engineering Meaning</t>
  </si>
  <si>
    <t>Lighting</t>
  </si>
  <si>
    <t>Use occupancy + daylight sensing.</t>
  </si>
  <si>
    <t>Fans</t>
  </si>
  <si>
    <t>Align runtime with occupancy.</t>
  </si>
  <si>
    <t>HVAC</t>
  </si>
  <si>
    <t>Optimize schedules and setpoints.</t>
  </si>
  <si>
    <t>Plug/Lab Loads</t>
  </si>
  <si>
    <t>Use priority-based control for critical equipment.</t>
  </si>
  <si>
    <t>VISUAL ANALYTICS — CAMPUS ENERGY SAVING SYSTEM</t>
  </si>
  <si>
    <t>PROJECT GUIDE — EXCEL PRESENTATION NOTES</t>
  </si>
  <si>
    <t>Objective</t>
  </si>
  <si>
    <t>Use campus energy data to identify waste, compare patterns and demonstrate automated energy control.</t>
  </si>
  <si>
    <t>Excel flow</t>
  </si>
  <si>
    <t>Sample Data → Analysis → Charts → Dashboard → Recommendation.</t>
  </si>
  <si>
    <t>Bar graph</t>
  </si>
  <si>
    <t>Compare energy consumption Before vs After Smart Control for each campus zone.</t>
  </si>
  <si>
    <t>Line graph</t>
  </si>
  <si>
    <t>Show daily energy trends and whether savings are consistent over time.</t>
  </si>
  <si>
    <t>Pie chart</t>
  </si>
  <si>
    <t>Show the share of energy used by lighting, fans, HVAC and plug/lab loads.</t>
  </si>
  <si>
    <t>Strong trend</t>
  </si>
  <si>
    <t>Compare occupancy with energy consumption. High energy at low occupancy indicates possible avoidable runtime.</t>
  </si>
  <si>
    <t>KPIs</t>
  </si>
  <si>
    <t>Total kWh, energy saved, saving %, peak kW, avoidable runtime and CO₂ avoided.</t>
  </si>
  <si>
    <t>System link</t>
  </si>
  <si>
    <t>PIR/LDR/temperature/meter data feeds an EMS; smart controls adjust lighting, fans and HVAC.</t>
  </si>
  <si>
    <t>Presentation line</t>
  </si>
  <si>
    <t>“We don't save energy by guesswork; we measure it, analyze it, automate it and verify the savings.”</t>
  </si>
  <si>
    <t>Important data note</t>
  </si>
  <si>
    <t>The workbook uses illustrative sample values because the actual numeric sample dataset was not available. Replace the Sample Data sheet with your real data before claiming measured results.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</si>
</sst>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0.0%"/>
    <numFmt numFmtId="166" formatCode="0.0"/>
  </numFmts>
  <fonts count="7" x14ac:knownFonts="1">
    <font>
      <sz val="11"/>
      <color theme="1"/>
      <name val="Calibri"/>
      <family val="2"/>
      <scheme val="minor"/>
    </font>
    <font>
      <b/>
      <sz val="20"/>
      <color rgb="FFFFFFFF"/>
      <name val="Calibri"/>
    </font>
    <font>
      <b/>
      <sz val="11"/>
      <color rgb="FFFFFFFF"/>
      <name val="Calibri"/>
    </font>
    <font>
      <b/>
      <sz val="16"/>
      <name val="Calibri"/>
    </font>
    <font>
      <b/>
      <sz val="15"/>
      <color rgb="FF2F75B5"/>
      <name val="Calibri"/>
    </font>
    <font>
      <b/>
      <sz val="18"/>
      <name val="Calibri"/>
    </font>
    <font>
      <b/>
      <sz val="11"/>
      <color rgb="FF2F75B5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2F2F2"/>
      </patternFill>
    </fill>
    <fill>
      <patternFill patternType="solid">
        <fgColor rgb="FF70AD47"/>
      </patternFill>
    </fill>
    <fill>
      <patternFill patternType="solid">
        <fgColor rgb="FFED7D31"/>
      </patternFill>
    </fill>
    <fill>
      <patternFill patternType="solid">
        <fgColor rgb="FF00A6A6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3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0" fillId="0" borderId="1" xfId="0" applyBorder="1" applyAlignment="1">
      <alignment wrapText="1"/>
    </xf>
    <xf numFmtId="0" fontId="6" fillId="0" borderId="1" xfId="0" applyFont="1" applyBorder="1"/>
    <xf numFmtId="0" fontId="0" fillId="0" borderId="1" xfId="0" applyBorder="1"/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5" fontId="0" fillId="0" borderId="1" xfId="0" applyNumberFormat="1" applyBorder="1"/>
    <xf numFmtId="165" fontId="0" fillId="0" borderId="1" xfId="0" applyNumberFormat="1" applyBorder="1" applyAlignment="1">
      <alignment wrapText="1"/>
    </xf>
    <xf numFmtId="16" fontId="0" fillId="0" borderId="1" xfId="0" applyNumberFormat="1" applyBorder="1"/>
    <xf numFmtId="0" fontId="2" fillId="3" borderId="1" xfId="0" applyFont="1" applyFill="1" applyBorder="1"/>
    <xf numFmtId="0" fontId="0" fillId="0" borderId="1" xfId="0" applyBorder="1" applyAlignment="1">
      <alignment wrapText="1"/>
    </xf>
    <xf numFmtId="0" fontId="0" fillId="0" borderId="0" xfId="0"/>
    <xf numFmtId="165" fontId="5" fillId="4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0" fillId="0" borderId="1" xfId="0" applyBorder="1"/>
    <xf numFmtId="0" fontId="5" fillId="4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166" fontId="3" fillId="4" borderId="0" xfId="0" applyNumberFormat="1" applyFont="1" applyFill="1" applyAlignment="1">
      <alignment horizontal="center"/>
    </xf>
    <xf numFmtId="165" fontId="3" fillId="4" borderId="0" xfId="0" applyNumberFormat="1" applyFont="1" applyFill="1" applyAlignment="1">
      <alignment horizontal="center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GB"/>
              <a:t>Energy Consumption by Campus Zone</a:t>
            </a:r>
          </a:p>
        </c:rich>
      </c:tx>
      <c:layout>
        <c:manualLayout>
          <c:xMode val="edge"/>
          <c:yMode val="edge"/>
          <c:x val="0.28052518518518521"/>
          <c:y val="7.9375000000000001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3.0574074074074073E-2"/>
          <c:y val="5.2916666666666667E-2"/>
          <c:w val="0.94825925925925925"/>
          <c:h val="0.90298611111111116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Analysis!$B$7</c:f>
              <c:strCache>
                <c:ptCount val="1"/>
                <c:pt idx="0">
                  <c:v>Before (kWh)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Analysis!$A$8:$A$11</c:f>
              <c:strCache>
                <c:ptCount val="4"/>
                <c:pt idx="0">
                  <c:v>Classroom Block</c:v>
                </c:pt>
                <c:pt idx="1">
                  <c:v>Laboratory</c:v>
                </c:pt>
                <c:pt idx="2">
                  <c:v>Hostel</c:v>
                </c:pt>
                <c:pt idx="3">
                  <c:v>Library/Admin</c:v>
                </c:pt>
              </c:strCache>
            </c:strRef>
          </c:cat>
          <c:val>
            <c:numRef>
              <c:f>Analysis!$B$8:$B$11</c:f>
              <c:numCache>
                <c:formatCode>General</c:formatCode>
                <c:ptCount val="4"/>
                <c:pt idx="0">
                  <c:v>3320</c:v>
                </c:pt>
                <c:pt idx="1">
                  <c:v>3113.7999999999997</c:v>
                </c:pt>
                <c:pt idx="2">
                  <c:v>3454.6000000000004</c:v>
                </c:pt>
                <c:pt idx="3">
                  <c:v>1754.1000000000001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DB-4C4E-AA75-DFE94533BF10}"/>
            </c:ext>
          </c:extLst>
        </c:ser>
        <c:ser>
          <c:idx val="1"/>
          <c:order val="1"/>
          <c:tx>
            <c:strRef>
              <c:f>Analysis!$C$7</c:f>
              <c:strCache>
                <c:ptCount val="1"/>
                <c:pt idx="0">
                  <c:v>After (kWh)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Analysis!$A$8:$A$11</c:f>
              <c:strCache>
                <c:ptCount val="4"/>
                <c:pt idx="0">
                  <c:v>Classroom Block</c:v>
                </c:pt>
                <c:pt idx="1">
                  <c:v>Laboratory</c:v>
                </c:pt>
                <c:pt idx="2">
                  <c:v>Hostel</c:v>
                </c:pt>
                <c:pt idx="3">
                  <c:v>Library/Admin</c:v>
                </c:pt>
              </c:strCache>
            </c:strRef>
          </c:cat>
          <c:val>
            <c:numRef>
              <c:f>Analysis!$C$8:$C$11</c:f>
              <c:numCache>
                <c:formatCode>General</c:formatCode>
                <c:ptCount val="4"/>
                <c:pt idx="0">
                  <c:v>2803.8</c:v>
                </c:pt>
                <c:pt idx="1">
                  <c:v>2748.6999999999994</c:v>
                </c:pt>
                <c:pt idx="2">
                  <c:v>3118.8999999999996</c:v>
                </c:pt>
                <c:pt idx="3">
                  <c:v>1508.7000000000003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DB-4C4E-AA75-DFE94533BF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Zone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Energy (kWh)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GB"/>
              <a:t>Daily Energy Trend — Before vs After Smart Control</a:t>
            </a:r>
          </a:p>
        </c:rich>
      </c:tx>
      <c:layout>
        <c:manualLayout>
          <c:xMode val="edge"/>
          <c:yMode val="edge"/>
          <c:x val="0.23415833333333333"/>
          <c:y val="6.6145833333333334E-2"/>
        </c:manualLayout>
      </c:layout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Analysis!$B$21</c:f>
              <c:strCache>
                <c:ptCount val="1"/>
                <c:pt idx="0">
                  <c:v>Before (kWh)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Analysis!$A$22:$A$51</c:f>
              <c:numCache>
                <c:formatCode>d\-mmm</c:formatCode>
                <c:ptCount val="30"/>
                <c:pt idx="0">
                  <c:v>46235</c:v>
                </c:pt>
                <c:pt idx="1">
                  <c:v>46236</c:v>
                </c:pt>
                <c:pt idx="2">
                  <c:v>46237</c:v>
                </c:pt>
                <c:pt idx="3">
                  <c:v>46238</c:v>
                </c:pt>
                <c:pt idx="4">
                  <c:v>46239</c:v>
                </c:pt>
                <c:pt idx="5">
                  <c:v>46240</c:v>
                </c:pt>
                <c:pt idx="6">
                  <c:v>46241</c:v>
                </c:pt>
                <c:pt idx="7">
                  <c:v>46242</c:v>
                </c:pt>
                <c:pt idx="8">
                  <c:v>46243</c:v>
                </c:pt>
                <c:pt idx="9">
                  <c:v>46244</c:v>
                </c:pt>
                <c:pt idx="10">
                  <c:v>46245</c:v>
                </c:pt>
                <c:pt idx="11">
                  <c:v>46246</c:v>
                </c:pt>
                <c:pt idx="12">
                  <c:v>46247</c:v>
                </c:pt>
                <c:pt idx="13">
                  <c:v>46248</c:v>
                </c:pt>
                <c:pt idx="14">
                  <c:v>46249</c:v>
                </c:pt>
                <c:pt idx="15">
                  <c:v>46250</c:v>
                </c:pt>
                <c:pt idx="16">
                  <c:v>46251</c:v>
                </c:pt>
                <c:pt idx="17">
                  <c:v>46252</c:v>
                </c:pt>
                <c:pt idx="18">
                  <c:v>46253</c:v>
                </c:pt>
                <c:pt idx="19">
                  <c:v>46254</c:v>
                </c:pt>
                <c:pt idx="20">
                  <c:v>46255</c:v>
                </c:pt>
                <c:pt idx="21">
                  <c:v>46256</c:v>
                </c:pt>
                <c:pt idx="22">
                  <c:v>46257</c:v>
                </c:pt>
                <c:pt idx="23">
                  <c:v>46258</c:v>
                </c:pt>
                <c:pt idx="24">
                  <c:v>46259</c:v>
                </c:pt>
                <c:pt idx="25">
                  <c:v>46260</c:v>
                </c:pt>
                <c:pt idx="26">
                  <c:v>46261</c:v>
                </c:pt>
                <c:pt idx="27">
                  <c:v>46262</c:v>
                </c:pt>
                <c:pt idx="28">
                  <c:v>46263</c:v>
                </c:pt>
                <c:pt idx="29">
                  <c:v>46264</c:v>
                </c:pt>
              </c:numCache>
            </c:numRef>
          </c:cat>
          <c:val>
            <c:numRef>
              <c:f>Analysis!$B$22:$B$51</c:f>
              <c:numCache>
                <c:formatCode>General</c:formatCode>
                <c:ptCount val="30"/>
                <c:pt idx="0">
                  <c:v>349.7</c:v>
                </c:pt>
                <c:pt idx="1">
                  <c:v>331.1</c:v>
                </c:pt>
                <c:pt idx="2">
                  <c:v>396.5</c:v>
                </c:pt>
                <c:pt idx="3">
                  <c:v>417.6</c:v>
                </c:pt>
                <c:pt idx="4">
                  <c:v>412.1</c:v>
                </c:pt>
                <c:pt idx="5">
                  <c:v>407.2</c:v>
                </c:pt>
                <c:pt idx="6">
                  <c:v>390.9</c:v>
                </c:pt>
                <c:pt idx="7">
                  <c:v>366.09999999999997</c:v>
                </c:pt>
                <c:pt idx="8">
                  <c:v>348.9</c:v>
                </c:pt>
                <c:pt idx="9">
                  <c:v>427.9</c:v>
                </c:pt>
                <c:pt idx="10">
                  <c:v>408.9</c:v>
                </c:pt>
                <c:pt idx="11">
                  <c:v>388.2</c:v>
                </c:pt>
                <c:pt idx="12">
                  <c:v>406.1</c:v>
                </c:pt>
                <c:pt idx="13">
                  <c:v>419.5</c:v>
                </c:pt>
                <c:pt idx="14">
                  <c:v>336.4</c:v>
                </c:pt>
                <c:pt idx="15">
                  <c:v>338.29999999999995</c:v>
                </c:pt>
                <c:pt idx="16">
                  <c:v>405</c:v>
                </c:pt>
                <c:pt idx="17">
                  <c:v>419.70000000000005</c:v>
                </c:pt>
                <c:pt idx="18">
                  <c:v>406.90000000000003</c:v>
                </c:pt>
                <c:pt idx="19">
                  <c:v>408.79999999999995</c:v>
                </c:pt>
                <c:pt idx="20">
                  <c:v>422.90000000000003</c:v>
                </c:pt>
                <c:pt idx="21">
                  <c:v>350.6</c:v>
                </c:pt>
                <c:pt idx="22">
                  <c:v>352.9</c:v>
                </c:pt>
                <c:pt idx="23">
                  <c:v>420.2</c:v>
                </c:pt>
                <c:pt idx="24">
                  <c:v>401.79999999999995</c:v>
                </c:pt>
                <c:pt idx="25">
                  <c:v>408.1</c:v>
                </c:pt>
                <c:pt idx="26">
                  <c:v>405.3</c:v>
                </c:pt>
                <c:pt idx="27">
                  <c:v>404.4</c:v>
                </c:pt>
                <c:pt idx="28">
                  <c:v>343.5</c:v>
                </c:pt>
                <c:pt idx="29">
                  <c:v>347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AD2-4348-8F7C-B4350FCB6123}"/>
            </c:ext>
          </c:extLst>
        </c:ser>
        <c:ser>
          <c:idx val="1"/>
          <c:order val="1"/>
          <c:tx>
            <c:strRef>
              <c:f>Analysis!$C$21</c:f>
              <c:strCache>
                <c:ptCount val="1"/>
                <c:pt idx="0">
                  <c:v>After (kWh)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Analysis!$A$22:$A$51</c:f>
              <c:numCache>
                <c:formatCode>d\-mmm</c:formatCode>
                <c:ptCount val="30"/>
                <c:pt idx="0">
                  <c:v>46235</c:v>
                </c:pt>
                <c:pt idx="1">
                  <c:v>46236</c:v>
                </c:pt>
                <c:pt idx="2">
                  <c:v>46237</c:v>
                </c:pt>
                <c:pt idx="3">
                  <c:v>46238</c:v>
                </c:pt>
                <c:pt idx="4">
                  <c:v>46239</c:v>
                </c:pt>
                <c:pt idx="5">
                  <c:v>46240</c:v>
                </c:pt>
                <c:pt idx="6">
                  <c:v>46241</c:v>
                </c:pt>
                <c:pt idx="7">
                  <c:v>46242</c:v>
                </c:pt>
                <c:pt idx="8">
                  <c:v>46243</c:v>
                </c:pt>
                <c:pt idx="9">
                  <c:v>46244</c:v>
                </c:pt>
                <c:pt idx="10">
                  <c:v>46245</c:v>
                </c:pt>
                <c:pt idx="11">
                  <c:v>46246</c:v>
                </c:pt>
                <c:pt idx="12">
                  <c:v>46247</c:v>
                </c:pt>
                <c:pt idx="13">
                  <c:v>46248</c:v>
                </c:pt>
                <c:pt idx="14">
                  <c:v>46249</c:v>
                </c:pt>
                <c:pt idx="15">
                  <c:v>46250</c:v>
                </c:pt>
                <c:pt idx="16">
                  <c:v>46251</c:v>
                </c:pt>
                <c:pt idx="17">
                  <c:v>46252</c:v>
                </c:pt>
                <c:pt idx="18">
                  <c:v>46253</c:v>
                </c:pt>
                <c:pt idx="19">
                  <c:v>46254</c:v>
                </c:pt>
                <c:pt idx="20">
                  <c:v>46255</c:v>
                </c:pt>
                <c:pt idx="21">
                  <c:v>46256</c:v>
                </c:pt>
                <c:pt idx="22">
                  <c:v>46257</c:v>
                </c:pt>
                <c:pt idx="23">
                  <c:v>46258</c:v>
                </c:pt>
                <c:pt idx="24">
                  <c:v>46259</c:v>
                </c:pt>
                <c:pt idx="25">
                  <c:v>46260</c:v>
                </c:pt>
                <c:pt idx="26">
                  <c:v>46261</c:v>
                </c:pt>
                <c:pt idx="27">
                  <c:v>46262</c:v>
                </c:pt>
                <c:pt idx="28">
                  <c:v>46263</c:v>
                </c:pt>
                <c:pt idx="29">
                  <c:v>46264</c:v>
                </c:pt>
              </c:numCache>
            </c:numRef>
          </c:cat>
          <c:val>
            <c:numRef>
              <c:f>Analysis!$C$22:$C$51</c:f>
              <c:numCache>
                <c:formatCode>General</c:formatCode>
                <c:ptCount val="30"/>
                <c:pt idx="0">
                  <c:v>309.20000000000005</c:v>
                </c:pt>
                <c:pt idx="1">
                  <c:v>286.7</c:v>
                </c:pt>
                <c:pt idx="2">
                  <c:v>343.8</c:v>
                </c:pt>
                <c:pt idx="3">
                  <c:v>367.40000000000003</c:v>
                </c:pt>
                <c:pt idx="4">
                  <c:v>361.7</c:v>
                </c:pt>
                <c:pt idx="5">
                  <c:v>351.59999999999997</c:v>
                </c:pt>
                <c:pt idx="6">
                  <c:v>343.1</c:v>
                </c:pt>
                <c:pt idx="7">
                  <c:v>319.59999999999997</c:v>
                </c:pt>
                <c:pt idx="8">
                  <c:v>309.2</c:v>
                </c:pt>
                <c:pt idx="9">
                  <c:v>376</c:v>
                </c:pt>
                <c:pt idx="10">
                  <c:v>357.2</c:v>
                </c:pt>
                <c:pt idx="11">
                  <c:v>344.50000000000006</c:v>
                </c:pt>
                <c:pt idx="12">
                  <c:v>354.90000000000003</c:v>
                </c:pt>
                <c:pt idx="13">
                  <c:v>363</c:v>
                </c:pt>
                <c:pt idx="14">
                  <c:v>290.89999999999998</c:v>
                </c:pt>
                <c:pt idx="15">
                  <c:v>296.7</c:v>
                </c:pt>
                <c:pt idx="16">
                  <c:v>359.1</c:v>
                </c:pt>
                <c:pt idx="17">
                  <c:v>366</c:v>
                </c:pt>
                <c:pt idx="18">
                  <c:v>358.59999999999997</c:v>
                </c:pt>
                <c:pt idx="19">
                  <c:v>353.6</c:v>
                </c:pt>
                <c:pt idx="20">
                  <c:v>370.59999999999997</c:v>
                </c:pt>
                <c:pt idx="21">
                  <c:v>302.7</c:v>
                </c:pt>
                <c:pt idx="22">
                  <c:v>307.8</c:v>
                </c:pt>
                <c:pt idx="23">
                  <c:v>370.3</c:v>
                </c:pt>
                <c:pt idx="24">
                  <c:v>350.40000000000003</c:v>
                </c:pt>
                <c:pt idx="25">
                  <c:v>352.4</c:v>
                </c:pt>
                <c:pt idx="26">
                  <c:v>356.7</c:v>
                </c:pt>
                <c:pt idx="27">
                  <c:v>356.4</c:v>
                </c:pt>
                <c:pt idx="28">
                  <c:v>297.8</c:v>
                </c:pt>
                <c:pt idx="29">
                  <c:v>302.19999999999993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AD2-4348-8F7C-B4350FCB61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Date</a:t>
                </a:r>
              </a:p>
            </c:rich>
          </c:tx>
          <c:overlay val="1"/>
        </c:title>
        <c:numFmt formatCode="d\-mmm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days"/>
      </c:date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Energy (kWh)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Energy Consumption by Campus Zone</a:t>
            </a:r>
          </a:p>
        </c:rich>
      </c:tx>
      <c:layout>
        <c:manualLayout>
          <c:xMode val="edge"/>
          <c:yMode val="edge"/>
          <c:x val="0.30169185185185188"/>
          <c:y val="6.6145833333333334E-2"/>
        </c:manualLayout>
      </c:layout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Analysis!$B$7</c:f>
              <c:strCache>
                <c:ptCount val="1"/>
                <c:pt idx="0">
                  <c:v>Before (kWh)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Analysis!$A$8:$A$11</c:f>
              <c:strCache>
                <c:ptCount val="4"/>
                <c:pt idx="0">
                  <c:v>Classroom Block</c:v>
                </c:pt>
                <c:pt idx="1">
                  <c:v>Laboratory</c:v>
                </c:pt>
                <c:pt idx="2">
                  <c:v>Hostel</c:v>
                </c:pt>
                <c:pt idx="3">
                  <c:v>Library/Admin</c:v>
                </c:pt>
              </c:strCache>
            </c:strRef>
          </c:cat>
          <c:val>
            <c:numRef>
              <c:f>Analysis!$B$8:$B$11</c:f>
              <c:numCache>
                <c:formatCode>General</c:formatCode>
                <c:ptCount val="4"/>
                <c:pt idx="0">
                  <c:v>3320</c:v>
                </c:pt>
                <c:pt idx="1">
                  <c:v>3113.7999999999997</c:v>
                </c:pt>
                <c:pt idx="2">
                  <c:v>3454.6000000000004</c:v>
                </c:pt>
                <c:pt idx="3">
                  <c:v>1754.1000000000001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21-E848-B498-7C7512DAA882}"/>
            </c:ext>
          </c:extLst>
        </c:ser>
        <c:ser>
          <c:idx val="1"/>
          <c:order val="1"/>
          <c:tx>
            <c:strRef>
              <c:f>Analysis!$C$7</c:f>
              <c:strCache>
                <c:ptCount val="1"/>
                <c:pt idx="0">
                  <c:v>After (kWh)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Analysis!$A$8:$A$11</c:f>
              <c:strCache>
                <c:ptCount val="4"/>
                <c:pt idx="0">
                  <c:v>Classroom Block</c:v>
                </c:pt>
                <c:pt idx="1">
                  <c:v>Laboratory</c:v>
                </c:pt>
                <c:pt idx="2">
                  <c:v>Hostel</c:v>
                </c:pt>
                <c:pt idx="3">
                  <c:v>Library/Admin</c:v>
                </c:pt>
              </c:strCache>
            </c:strRef>
          </c:cat>
          <c:val>
            <c:numRef>
              <c:f>Analysis!$C$8:$C$11</c:f>
              <c:numCache>
                <c:formatCode>General</c:formatCode>
                <c:ptCount val="4"/>
                <c:pt idx="0">
                  <c:v>2803.8</c:v>
                </c:pt>
                <c:pt idx="1">
                  <c:v>2748.6999999999994</c:v>
                </c:pt>
                <c:pt idx="2">
                  <c:v>3118.8999999999996</c:v>
                </c:pt>
                <c:pt idx="3">
                  <c:v>1508.7000000000003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21-E848-B498-7C7512DAA8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Zone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Energy (kWh)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Daily Energy Trend — Before vs After Smart Control</a:t>
            </a:r>
          </a:p>
        </c:rich>
      </c:tx>
      <c:layout>
        <c:manualLayout>
          <c:xMode val="edge"/>
          <c:yMode val="edge"/>
          <c:x val="0.24121388888888889"/>
          <c:y val="6.173611111111111E-2"/>
        </c:manualLayout>
      </c:layout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Analysis!$B$21</c:f>
              <c:strCache>
                <c:ptCount val="1"/>
                <c:pt idx="0">
                  <c:v>Before (kWh)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Analysis!$A$22:$A$51</c:f>
              <c:numCache>
                <c:formatCode>d\-mmm</c:formatCode>
                <c:ptCount val="30"/>
                <c:pt idx="0">
                  <c:v>46235</c:v>
                </c:pt>
                <c:pt idx="1">
                  <c:v>46236</c:v>
                </c:pt>
                <c:pt idx="2">
                  <c:v>46237</c:v>
                </c:pt>
                <c:pt idx="3">
                  <c:v>46238</c:v>
                </c:pt>
                <c:pt idx="4">
                  <c:v>46239</c:v>
                </c:pt>
                <c:pt idx="5">
                  <c:v>46240</c:v>
                </c:pt>
                <c:pt idx="6">
                  <c:v>46241</c:v>
                </c:pt>
                <c:pt idx="7">
                  <c:v>46242</c:v>
                </c:pt>
                <c:pt idx="8">
                  <c:v>46243</c:v>
                </c:pt>
                <c:pt idx="9">
                  <c:v>46244</c:v>
                </c:pt>
                <c:pt idx="10">
                  <c:v>46245</c:v>
                </c:pt>
                <c:pt idx="11">
                  <c:v>46246</c:v>
                </c:pt>
                <c:pt idx="12">
                  <c:v>46247</c:v>
                </c:pt>
                <c:pt idx="13">
                  <c:v>46248</c:v>
                </c:pt>
                <c:pt idx="14">
                  <c:v>46249</c:v>
                </c:pt>
                <c:pt idx="15">
                  <c:v>46250</c:v>
                </c:pt>
                <c:pt idx="16">
                  <c:v>46251</c:v>
                </c:pt>
                <c:pt idx="17">
                  <c:v>46252</c:v>
                </c:pt>
                <c:pt idx="18">
                  <c:v>46253</c:v>
                </c:pt>
                <c:pt idx="19">
                  <c:v>46254</c:v>
                </c:pt>
                <c:pt idx="20">
                  <c:v>46255</c:v>
                </c:pt>
                <c:pt idx="21">
                  <c:v>46256</c:v>
                </c:pt>
                <c:pt idx="22">
                  <c:v>46257</c:v>
                </c:pt>
                <c:pt idx="23">
                  <c:v>46258</c:v>
                </c:pt>
                <c:pt idx="24">
                  <c:v>46259</c:v>
                </c:pt>
                <c:pt idx="25">
                  <c:v>46260</c:v>
                </c:pt>
                <c:pt idx="26">
                  <c:v>46261</c:v>
                </c:pt>
                <c:pt idx="27">
                  <c:v>46262</c:v>
                </c:pt>
                <c:pt idx="28">
                  <c:v>46263</c:v>
                </c:pt>
                <c:pt idx="29">
                  <c:v>46264</c:v>
                </c:pt>
              </c:numCache>
            </c:numRef>
          </c:cat>
          <c:val>
            <c:numRef>
              <c:f>Analysis!$B$22:$B$51</c:f>
              <c:numCache>
                <c:formatCode>General</c:formatCode>
                <c:ptCount val="30"/>
                <c:pt idx="0">
                  <c:v>349.7</c:v>
                </c:pt>
                <c:pt idx="1">
                  <c:v>331.1</c:v>
                </c:pt>
                <c:pt idx="2">
                  <c:v>396.5</c:v>
                </c:pt>
                <c:pt idx="3">
                  <c:v>417.6</c:v>
                </c:pt>
                <c:pt idx="4">
                  <c:v>412.1</c:v>
                </c:pt>
                <c:pt idx="5">
                  <c:v>407.2</c:v>
                </c:pt>
                <c:pt idx="6">
                  <c:v>390.9</c:v>
                </c:pt>
                <c:pt idx="7">
                  <c:v>366.09999999999997</c:v>
                </c:pt>
                <c:pt idx="8">
                  <c:v>348.9</c:v>
                </c:pt>
                <c:pt idx="9">
                  <c:v>427.9</c:v>
                </c:pt>
                <c:pt idx="10">
                  <c:v>408.9</c:v>
                </c:pt>
                <c:pt idx="11">
                  <c:v>388.2</c:v>
                </c:pt>
                <c:pt idx="12">
                  <c:v>406.1</c:v>
                </c:pt>
                <c:pt idx="13">
                  <c:v>419.5</c:v>
                </c:pt>
                <c:pt idx="14">
                  <c:v>336.4</c:v>
                </c:pt>
                <c:pt idx="15">
                  <c:v>338.29999999999995</c:v>
                </c:pt>
                <c:pt idx="16">
                  <c:v>405</c:v>
                </c:pt>
                <c:pt idx="17">
                  <c:v>419.70000000000005</c:v>
                </c:pt>
                <c:pt idx="18">
                  <c:v>406.90000000000003</c:v>
                </c:pt>
                <c:pt idx="19">
                  <c:v>408.79999999999995</c:v>
                </c:pt>
                <c:pt idx="20">
                  <c:v>422.90000000000003</c:v>
                </c:pt>
                <c:pt idx="21">
                  <c:v>350.6</c:v>
                </c:pt>
                <c:pt idx="22">
                  <c:v>352.9</c:v>
                </c:pt>
                <c:pt idx="23">
                  <c:v>420.2</c:v>
                </c:pt>
                <c:pt idx="24">
                  <c:v>401.79999999999995</c:v>
                </c:pt>
                <c:pt idx="25">
                  <c:v>408.1</c:v>
                </c:pt>
                <c:pt idx="26">
                  <c:v>405.3</c:v>
                </c:pt>
                <c:pt idx="27">
                  <c:v>404.4</c:v>
                </c:pt>
                <c:pt idx="28">
                  <c:v>343.5</c:v>
                </c:pt>
                <c:pt idx="29">
                  <c:v>347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793-0241-A786-857E6B5BE213}"/>
            </c:ext>
          </c:extLst>
        </c:ser>
        <c:ser>
          <c:idx val="1"/>
          <c:order val="1"/>
          <c:tx>
            <c:strRef>
              <c:f>Analysis!$C$21</c:f>
              <c:strCache>
                <c:ptCount val="1"/>
                <c:pt idx="0">
                  <c:v>After (kWh)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Analysis!$A$22:$A$51</c:f>
              <c:numCache>
                <c:formatCode>d\-mmm</c:formatCode>
                <c:ptCount val="30"/>
                <c:pt idx="0">
                  <c:v>46235</c:v>
                </c:pt>
                <c:pt idx="1">
                  <c:v>46236</c:v>
                </c:pt>
                <c:pt idx="2">
                  <c:v>46237</c:v>
                </c:pt>
                <c:pt idx="3">
                  <c:v>46238</c:v>
                </c:pt>
                <c:pt idx="4">
                  <c:v>46239</c:v>
                </c:pt>
                <c:pt idx="5">
                  <c:v>46240</c:v>
                </c:pt>
                <c:pt idx="6">
                  <c:v>46241</c:v>
                </c:pt>
                <c:pt idx="7">
                  <c:v>46242</c:v>
                </c:pt>
                <c:pt idx="8">
                  <c:v>46243</c:v>
                </c:pt>
                <c:pt idx="9">
                  <c:v>46244</c:v>
                </c:pt>
                <c:pt idx="10">
                  <c:v>46245</c:v>
                </c:pt>
                <c:pt idx="11">
                  <c:v>46246</c:v>
                </c:pt>
                <c:pt idx="12">
                  <c:v>46247</c:v>
                </c:pt>
                <c:pt idx="13">
                  <c:v>46248</c:v>
                </c:pt>
                <c:pt idx="14">
                  <c:v>46249</c:v>
                </c:pt>
                <c:pt idx="15">
                  <c:v>46250</c:v>
                </c:pt>
                <c:pt idx="16">
                  <c:v>46251</c:v>
                </c:pt>
                <c:pt idx="17">
                  <c:v>46252</c:v>
                </c:pt>
                <c:pt idx="18">
                  <c:v>46253</c:v>
                </c:pt>
                <c:pt idx="19">
                  <c:v>46254</c:v>
                </c:pt>
                <c:pt idx="20">
                  <c:v>46255</c:v>
                </c:pt>
                <c:pt idx="21">
                  <c:v>46256</c:v>
                </c:pt>
                <c:pt idx="22">
                  <c:v>46257</c:v>
                </c:pt>
                <c:pt idx="23">
                  <c:v>46258</c:v>
                </c:pt>
                <c:pt idx="24">
                  <c:v>46259</c:v>
                </c:pt>
                <c:pt idx="25">
                  <c:v>46260</c:v>
                </c:pt>
                <c:pt idx="26">
                  <c:v>46261</c:v>
                </c:pt>
                <c:pt idx="27">
                  <c:v>46262</c:v>
                </c:pt>
                <c:pt idx="28">
                  <c:v>46263</c:v>
                </c:pt>
                <c:pt idx="29">
                  <c:v>46264</c:v>
                </c:pt>
              </c:numCache>
            </c:numRef>
          </c:cat>
          <c:val>
            <c:numRef>
              <c:f>Analysis!$C$22:$C$51</c:f>
              <c:numCache>
                <c:formatCode>General</c:formatCode>
                <c:ptCount val="30"/>
                <c:pt idx="0">
                  <c:v>309.20000000000005</c:v>
                </c:pt>
                <c:pt idx="1">
                  <c:v>286.7</c:v>
                </c:pt>
                <c:pt idx="2">
                  <c:v>343.8</c:v>
                </c:pt>
                <c:pt idx="3">
                  <c:v>367.40000000000003</c:v>
                </c:pt>
                <c:pt idx="4">
                  <c:v>361.7</c:v>
                </c:pt>
                <c:pt idx="5">
                  <c:v>351.59999999999997</c:v>
                </c:pt>
                <c:pt idx="6">
                  <c:v>343.1</c:v>
                </c:pt>
                <c:pt idx="7">
                  <c:v>319.59999999999997</c:v>
                </c:pt>
                <c:pt idx="8">
                  <c:v>309.2</c:v>
                </c:pt>
                <c:pt idx="9">
                  <c:v>376</c:v>
                </c:pt>
                <c:pt idx="10">
                  <c:v>357.2</c:v>
                </c:pt>
                <c:pt idx="11">
                  <c:v>344.50000000000006</c:v>
                </c:pt>
                <c:pt idx="12">
                  <c:v>354.90000000000003</c:v>
                </c:pt>
                <c:pt idx="13">
                  <c:v>363</c:v>
                </c:pt>
                <c:pt idx="14">
                  <c:v>290.89999999999998</c:v>
                </c:pt>
                <c:pt idx="15">
                  <c:v>296.7</c:v>
                </c:pt>
                <c:pt idx="16">
                  <c:v>359.1</c:v>
                </c:pt>
                <c:pt idx="17">
                  <c:v>366</c:v>
                </c:pt>
                <c:pt idx="18">
                  <c:v>358.59999999999997</c:v>
                </c:pt>
                <c:pt idx="19">
                  <c:v>353.6</c:v>
                </c:pt>
                <c:pt idx="20">
                  <c:v>370.59999999999997</c:v>
                </c:pt>
                <c:pt idx="21">
                  <c:v>302.7</c:v>
                </c:pt>
                <c:pt idx="22">
                  <c:v>307.8</c:v>
                </c:pt>
                <c:pt idx="23">
                  <c:v>370.3</c:v>
                </c:pt>
                <c:pt idx="24">
                  <c:v>350.40000000000003</c:v>
                </c:pt>
                <c:pt idx="25">
                  <c:v>352.4</c:v>
                </c:pt>
                <c:pt idx="26">
                  <c:v>356.7</c:v>
                </c:pt>
                <c:pt idx="27">
                  <c:v>356.4</c:v>
                </c:pt>
                <c:pt idx="28">
                  <c:v>297.8</c:v>
                </c:pt>
                <c:pt idx="29">
                  <c:v>302.19999999999993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793-0241-A786-857E6B5BE2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Date</a:t>
                </a:r>
              </a:p>
            </c:rich>
          </c:tx>
          <c:overlay val="1"/>
        </c:title>
        <c:numFmt formatCode="d\-mmm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days"/>
      </c:date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Energy (kWh)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Energy Share by Component</a:t>
            </a:r>
          </a:p>
        </c:rich>
      </c:tx>
      <c:layout>
        <c:manualLayout>
          <c:xMode val="edge"/>
          <c:yMode val="edge"/>
          <c:x val="0.62702939814814818"/>
          <c:y val="6.173611111111111E-2"/>
        </c:manualLayout>
      </c:layout>
      <c:overlay val="1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Lbls>
            <c:dLbl>
              <c:idx val="0"/>
              <c:layout>
                <c:manualLayout>
                  <c:x val="-0.31663020833333333"/>
                  <c:y val="2.3151041666666667E-2"/>
                </c:manualLayout>
              </c:layout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F51-49BA-989A-3FDB8AFE35D9}"/>
                </c:ext>
              </c:extLst>
            </c:dLbl>
            <c:dLbl>
              <c:idx val="1"/>
              <c:layout>
                <c:manualLayout>
                  <c:x val="-0.22824340277777777"/>
                  <c:y val="0.15405173611111111"/>
                </c:manualLayout>
              </c:layout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F51-49BA-989A-3FDB8AFE35D9}"/>
                </c:ext>
              </c:extLst>
            </c:dLbl>
            <c:dLbl>
              <c:idx val="2"/>
              <c:layout>
                <c:manualLayout>
                  <c:x val="-0.19727037037037037"/>
                  <c:y val="-0.22944131944444446"/>
                </c:manualLayout>
              </c:layout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F51-49BA-989A-3FDB8AFE35D9}"/>
                </c:ext>
              </c:extLst>
            </c:dLbl>
            <c:dLbl>
              <c:idx val="3"/>
              <c:layout>
                <c:manualLayout>
                  <c:x val="0.15408981481481482"/>
                  <c:y val="-0.21586319444444443"/>
                </c:manualLayout>
              </c:layout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F51-49BA-989A-3FDB8AFE35D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Analysis!$A$15:$A$18</c:f>
              <c:strCache>
                <c:ptCount val="4"/>
                <c:pt idx="0">
                  <c:v>Lighting</c:v>
                </c:pt>
                <c:pt idx="1">
                  <c:v>Fans</c:v>
                </c:pt>
                <c:pt idx="2">
                  <c:v>HVAC</c:v>
                </c:pt>
                <c:pt idx="3">
                  <c:v>Plug/Lab Loads</c:v>
                </c:pt>
              </c:strCache>
            </c:strRef>
          </c:cat>
          <c:val>
            <c:numRef>
              <c:f>Analysis!$B$14:$B$18</c:f>
              <c:numCache>
                <c:formatCode>General</c:formatCode>
                <c:ptCount val="5"/>
                <c:pt idx="0">
                  <c:v>0</c:v>
                </c:pt>
                <c:pt idx="1">
                  <c:v>3385.9000000000005</c:v>
                </c:pt>
                <c:pt idx="2">
                  <c:v>2469.3000000000015</c:v>
                </c:pt>
                <c:pt idx="3">
                  <c:v>2610.4999999999991</c:v>
                </c:pt>
                <c:pt idx="4">
                  <c:v>3176.7999999999997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48-DA44-92AB-28B3B29C1193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16</xdr:row>
      <xdr:rowOff>0</xdr:rowOff>
    </xdr:from>
    <xdr:ext cx="540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16</xdr:row>
      <xdr:rowOff>0</xdr:rowOff>
    </xdr:from>
    <xdr:ext cx="540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540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2</xdr:row>
      <xdr:rowOff>0</xdr:rowOff>
    </xdr:from>
    <xdr:ext cx="540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5</xdr:col>
      <xdr:colOff>144780</xdr:colOff>
      <xdr:row>18</xdr:row>
      <xdr:rowOff>121920</xdr:rowOff>
    </xdr:from>
    <xdr:ext cx="4320000" cy="28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showGridLines="0" tabSelected="1" zoomScale="80" workbookViewId="0">
      <selection activeCell="O10" sqref="O10"/>
    </sheetView>
  </sheetViews>
  <sheetFormatPr defaultRowHeight="14.4" x14ac:dyDescent="0.3"/>
  <cols>
    <col min="1" max="12" width="14" customWidth="1"/>
  </cols>
  <sheetData>
    <row r="1" spans="1:12" ht="33.9" customHeight="1" x14ac:dyDescent="0.5">
      <c r="A1" s="17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3" spans="1:12" ht="19.8" x14ac:dyDescent="0.4">
      <c r="A3" s="21" t="s">
        <v>1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</row>
    <row r="5" spans="1:12" x14ac:dyDescent="0.3">
      <c r="A5" s="23" t="s">
        <v>2</v>
      </c>
      <c r="B5" s="15"/>
      <c r="D5" s="18" t="s">
        <v>3</v>
      </c>
      <c r="E5" s="15"/>
      <c r="G5" s="24" t="s">
        <v>4</v>
      </c>
      <c r="H5" s="15"/>
      <c r="J5" s="25" t="s">
        <v>5</v>
      </c>
      <c r="K5" s="15"/>
    </row>
    <row r="6" spans="1:12" x14ac:dyDescent="0.3">
      <c r="A6" s="20">
        <f>Analysis!A4</f>
        <v>11642.5</v>
      </c>
      <c r="B6" s="15"/>
      <c r="D6" s="20">
        <f>Analysis!C4</f>
        <v>10180.100000000002</v>
      </c>
      <c r="E6" s="15"/>
      <c r="G6" s="20">
        <f>Analysis!E4</f>
        <v>1462.0999999999983</v>
      </c>
      <c r="H6" s="15"/>
      <c r="J6" s="16">
        <f>Analysis!G4</f>
        <v>0.12558299334335393</v>
      </c>
      <c r="K6" s="15"/>
    </row>
    <row r="7" spans="1:12" x14ac:dyDescent="0.3">
      <c r="A7" s="15"/>
      <c r="B7" s="15"/>
      <c r="D7" s="15"/>
      <c r="E7" s="15"/>
      <c r="G7" s="15"/>
      <c r="H7" s="15"/>
      <c r="J7" s="15"/>
      <c r="K7" s="15"/>
    </row>
    <row r="9" spans="1:12" x14ac:dyDescent="0.3">
      <c r="A9" s="22" t="s">
        <v>6</v>
      </c>
      <c r="B9" s="15"/>
      <c r="C9" s="15"/>
      <c r="D9" s="15"/>
      <c r="E9" s="15"/>
      <c r="F9" s="15"/>
      <c r="H9" s="22" t="s">
        <v>7</v>
      </c>
      <c r="I9" s="15"/>
      <c r="J9" s="15"/>
      <c r="K9" s="15"/>
      <c r="L9" s="15"/>
    </row>
    <row r="10" spans="1:12" x14ac:dyDescent="0.3">
      <c r="A10" s="14" t="s">
        <v>8</v>
      </c>
      <c r="B10" s="15"/>
      <c r="C10" s="15"/>
      <c r="D10" s="15"/>
      <c r="E10" s="15"/>
      <c r="F10" s="15"/>
      <c r="H10" s="5" t="s">
        <v>9</v>
      </c>
      <c r="I10" s="14" t="s">
        <v>10</v>
      </c>
      <c r="J10" s="19"/>
      <c r="K10" s="19"/>
      <c r="L10" s="19"/>
    </row>
    <row r="11" spans="1:12" x14ac:dyDescent="0.3">
      <c r="A11" s="14" t="s">
        <v>11</v>
      </c>
      <c r="B11" s="15"/>
      <c r="C11" s="15"/>
      <c r="D11" s="15"/>
      <c r="E11" s="15"/>
      <c r="F11" s="15"/>
      <c r="H11" s="5" t="s">
        <v>12</v>
      </c>
      <c r="I11" s="14" t="s">
        <v>13</v>
      </c>
      <c r="J11" s="19"/>
      <c r="K11" s="19"/>
      <c r="L11" s="19"/>
    </row>
    <row r="12" spans="1:12" x14ac:dyDescent="0.3">
      <c r="A12" s="14" t="s">
        <v>14</v>
      </c>
      <c r="B12" s="15"/>
      <c r="C12" s="15"/>
      <c r="D12" s="15"/>
      <c r="E12" s="15"/>
      <c r="F12" s="15"/>
      <c r="H12" s="5" t="s">
        <v>15</v>
      </c>
      <c r="I12" s="14" t="s">
        <v>16</v>
      </c>
      <c r="J12" s="19"/>
      <c r="K12" s="19"/>
      <c r="L12" s="19"/>
    </row>
    <row r="13" spans="1:12" x14ac:dyDescent="0.3">
      <c r="A13" s="14" t="s">
        <v>17</v>
      </c>
      <c r="B13" s="15"/>
      <c r="C13" s="15"/>
      <c r="D13" s="15"/>
      <c r="E13" s="15"/>
      <c r="F13" s="15"/>
      <c r="H13" s="5" t="s">
        <v>18</v>
      </c>
      <c r="I13" s="14" t="s">
        <v>19</v>
      </c>
      <c r="J13" s="19"/>
      <c r="K13" s="19"/>
      <c r="L13" s="19"/>
    </row>
    <row r="14" spans="1:12" x14ac:dyDescent="0.3">
      <c r="A14" s="14" t="s">
        <v>20</v>
      </c>
      <c r="B14" s="15"/>
      <c r="C14" s="15"/>
      <c r="D14" s="15"/>
      <c r="E14" s="15"/>
      <c r="F14" s="15"/>
      <c r="H14" s="5" t="s">
        <v>21</v>
      </c>
      <c r="I14" s="14" t="s">
        <v>22</v>
      </c>
      <c r="J14" s="19"/>
      <c r="K14" s="19"/>
      <c r="L14" s="19"/>
    </row>
    <row r="15" spans="1:12" x14ac:dyDescent="0.3">
      <c r="A15" s="14" t="s">
        <v>23</v>
      </c>
      <c r="B15" s="15"/>
      <c r="C15" s="15"/>
      <c r="D15" s="15"/>
      <c r="E15" s="15"/>
      <c r="F15" s="15"/>
    </row>
  </sheetData>
  <mergeCells count="23">
    <mergeCell ref="G5:H5"/>
    <mergeCell ref="D6:E7"/>
    <mergeCell ref="I14:L14"/>
    <mergeCell ref="J5:K5"/>
    <mergeCell ref="G6:H7"/>
    <mergeCell ref="A12:F12"/>
    <mergeCell ref="I10:L10"/>
    <mergeCell ref="A15:F15"/>
    <mergeCell ref="A11:F11"/>
    <mergeCell ref="J6:K7"/>
    <mergeCell ref="A1:L1"/>
    <mergeCell ref="D5:E5"/>
    <mergeCell ref="I12:L12"/>
    <mergeCell ref="A6:B7"/>
    <mergeCell ref="A3:L3"/>
    <mergeCell ref="H9:L9"/>
    <mergeCell ref="I13:L13"/>
    <mergeCell ref="A14:F14"/>
    <mergeCell ref="I11:L11"/>
    <mergeCell ref="A10:F10"/>
    <mergeCell ref="A13:F13"/>
    <mergeCell ref="A9:F9"/>
    <mergeCell ref="A5:B5"/>
  </mergeCells>
  <pageMargins left="0.75" right="0.75" top="1" bottom="1" header="0.5" footer="0.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23"/>
  <sheetViews>
    <sheetView showGridLines="0" workbookViewId="0">
      <pane ySplit="3" topLeftCell="A4" activePane="bottomLeft" state="frozen"/>
      <selection pane="bottomLeft" sqref="A1:L1"/>
    </sheetView>
  </sheetViews>
  <sheetFormatPr defaultRowHeight="14.4" x14ac:dyDescent="0.3"/>
  <cols>
    <col min="1" max="1" width="13" customWidth="1"/>
    <col min="2" max="2" width="12" customWidth="1"/>
    <col min="3" max="3" width="20" customWidth="1"/>
    <col min="4" max="4" width="14" customWidth="1"/>
    <col min="5" max="5" width="16" customWidth="1"/>
    <col min="6" max="6" width="13" customWidth="1"/>
    <col min="7" max="7" width="14" customWidth="1"/>
    <col min="8" max="8" width="19" customWidth="1"/>
    <col min="9" max="9" width="18" customWidth="1"/>
    <col min="10" max="10" width="24" customWidth="1"/>
    <col min="11" max="11" width="16" customWidth="1"/>
    <col min="12" max="12" width="12" customWidth="1"/>
  </cols>
  <sheetData>
    <row r="1" spans="1:12" ht="33.9" customHeight="1" x14ac:dyDescent="0.5">
      <c r="A1" s="17" t="s">
        <v>24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3" spans="1:12" x14ac:dyDescent="0.3">
      <c r="A3" s="1" t="s">
        <v>25</v>
      </c>
      <c r="B3" s="1" t="s">
        <v>26</v>
      </c>
      <c r="C3" s="1" t="s">
        <v>27</v>
      </c>
      <c r="D3" s="1" t="s">
        <v>28</v>
      </c>
      <c r="E3" s="1" t="s">
        <v>29</v>
      </c>
      <c r="F3" s="1" t="s">
        <v>30</v>
      </c>
      <c r="G3" s="1" t="s">
        <v>31</v>
      </c>
      <c r="H3" s="1" t="s">
        <v>32</v>
      </c>
      <c r="I3" s="1" t="s">
        <v>33</v>
      </c>
      <c r="J3" s="1" t="s">
        <v>34</v>
      </c>
      <c r="K3" s="1" t="s">
        <v>35</v>
      </c>
      <c r="L3" s="1" t="s">
        <v>36</v>
      </c>
    </row>
    <row r="4" spans="1:12" x14ac:dyDescent="0.3">
      <c r="A4" s="7">
        <v>46235</v>
      </c>
      <c r="B4" s="8" t="s">
        <v>37</v>
      </c>
      <c r="C4" s="8" t="s">
        <v>38</v>
      </c>
      <c r="D4" s="8">
        <v>48</v>
      </c>
      <c r="E4" s="8">
        <v>30.7</v>
      </c>
      <c r="F4" s="8">
        <v>22.5</v>
      </c>
      <c r="G4" s="8">
        <v>29.2</v>
      </c>
      <c r="H4" s="8">
        <v>17.399999999999999</v>
      </c>
      <c r="I4" s="8">
        <v>99.9</v>
      </c>
      <c r="J4" s="8">
        <v>14</v>
      </c>
      <c r="K4" s="8">
        <v>85.9</v>
      </c>
      <c r="L4" s="9">
        <v>0.1397065020969841</v>
      </c>
    </row>
    <row r="5" spans="1:12" x14ac:dyDescent="0.3">
      <c r="A5" s="7">
        <v>46235</v>
      </c>
      <c r="B5" s="8" t="s">
        <v>37</v>
      </c>
      <c r="C5" s="8" t="s">
        <v>39</v>
      </c>
      <c r="D5" s="8">
        <v>46</v>
      </c>
      <c r="E5" s="8">
        <v>21.7</v>
      </c>
      <c r="F5" s="8">
        <v>14.3</v>
      </c>
      <c r="G5" s="8">
        <v>15.6</v>
      </c>
      <c r="H5" s="8">
        <v>40.9</v>
      </c>
      <c r="I5" s="8">
        <v>92.5</v>
      </c>
      <c r="J5" s="8">
        <v>9.1</v>
      </c>
      <c r="K5" s="8">
        <v>83.4</v>
      </c>
      <c r="L5" s="9">
        <v>9.8492771178730953E-2</v>
      </c>
    </row>
    <row r="6" spans="1:12" x14ac:dyDescent="0.3">
      <c r="A6" s="7">
        <v>46235</v>
      </c>
      <c r="B6" s="8" t="s">
        <v>37</v>
      </c>
      <c r="C6" s="8" t="s">
        <v>40</v>
      </c>
      <c r="D6" s="8">
        <v>50</v>
      </c>
      <c r="E6" s="8">
        <v>24.2</v>
      </c>
      <c r="F6" s="8">
        <v>19.899999999999999</v>
      </c>
      <c r="G6" s="8">
        <v>22.5</v>
      </c>
      <c r="H6" s="8">
        <v>32.200000000000003</v>
      </c>
      <c r="I6" s="8">
        <v>98.8</v>
      </c>
      <c r="J6" s="8">
        <v>10.5</v>
      </c>
      <c r="K6" s="8">
        <v>88.3</v>
      </c>
      <c r="L6" s="9">
        <v>0.1065312957865869</v>
      </c>
    </row>
    <row r="7" spans="1:12" x14ac:dyDescent="0.3">
      <c r="A7" s="7">
        <v>46235</v>
      </c>
      <c r="B7" s="8" t="s">
        <v>37</v>
      </c>
      <c r="C7" s="8" t="s">
        <v>41</v>
      </c>
      <c r="D7" s="8">
        <v>40</v>
      </c>
      <c r="E7" s="8">
        <v>17.7</v>
      </c>
      <c r="F7" s="8">
        <v>11.4</v>
      </c>
      <c r="G7" s="8">
        <v>15.5</v>
      </c>
      <c r="H7" s="8">
        <v>13.9</v>
      </c>
      <c r="I7" s="8">
        <v>58.5</v>
      </c>
      <c r="J7" s="8">
        <v>6.9</v>
      </c>
      <c r="K7" s="8">
        <v>51.6</v>
      </c>
      <c r="L7" s="9">
        <v>0.11732913403088779</v>
      </c>
    </row>
    <row r="8" spans="1:12" x14ac:dyDescent="0.3">
      <c r="A8" s="7">
        <v>46236</v>
      </c>
      <c r="B8" s="8" t="s">
        <v>42</v>
      </c>
      <c r="C8" s="8" t="s">
        <v>38</v>
      </c>
      <c r="D8" s="8">
        <v>42</v>
      </c>
      <c r="E8" s="8">
        <v>28.5</v>
      </c>
      <c r="F8" s="8">
        <v>21.7</v>
      </c>
      <c r="G8" s="8">
        <v>24.9</v>
      </c>
      <c r="H8" s="8">
        <v>14.5</v>
      </c>
      <c r="I8" s="8">
        <v>89.6</v>
      </c>
      <c r="J8" s="8">
        <v>15.8</v>
      </c>
      <c r="K8" s="8">
        <v>73.900000000000006</v>
      </c>
      <c r="L8" s="9">
        <v>0.1758063179560016</v>
      </c>
    </row>
    <row r="9" spans="1:12" x14ac:dyDescent="0.3">
      <c r="A9" s="7">
        <v>46236</v>
      </c>
      <c r="B9" s="8" t="s">
        <v>42</v>
      </c>
      <c r="C9" s="8" t="s">
        <v>39</v>
      </c>
      <c r="D9" s="8">
        <v>33</v>
      </c>
      <c r="E9" s="8">
        <v>20.100000000000001</v>
      </c>
      <c r="F9" s="8">
        <v>13.3</v>
      </c>
      <c r="G9" s="8">
        <v>14.3</v>
      </c>
      <c r="H9" s="8">
        <v>37.200000000000003</v>
      </c>
      <c r="I9" s="8">
        <v>84.9</v>
      </c>
      <c r="J9" s="8">
        <v>11.1</v>
      </c>
      <c r="K9" s="8">
        <v>73.8</v>
      </c>
      <c r="L9" s="9">
        <v>0.1306055382873077</v>
      </c>
    </row>
    <row r="10" spans="1:12" x14ac:dyDescent="0.3">
      <c r="A10" s="7">
        <v>46236</v>
      </c>
      <c r="B10" s="8" t="s">
        <v>42</v>
      </c>
      <c r="C10" s="8" t="s">
        <v>40</v>
      </c>
      <c r="D10" s="8">
        <v>66</v>
      </c>
      <c r="E10" s="8">
        <v>27.4</v>
      </c>
      <c r="F10" s="8">
        <v>22.4</v>
      </c>
      <c r="G10" s="8">
        <v>22.3</v>
      </c>
      <c r="H10" s="8">
        <v>31.4</v>
      </c>
      <c r="I10" s="8">
        <v>103.5</v>
      </c>
      <c r="J10" s="8">
        <v>9.4</v>
      </c>
      <c r="K10" s="8">
        <v>94.1</v>
      </c>
      <c r="L10" s="9">
        <v>9.0707358518839584E-2</v>
      </c>
    </row>
    <row r="11" spans="1:12" x14ac:dyDescent="0.3">
      <c r="A11" s="7">
        <v>46236</v>
      </c>
      <c r="B11" s="8" t="s">
        <v>42</v>
      </c>
      <c r="C11" s="8" t="s">
        <v>41</v>
      </c>
      <c r="D11" s="8">
        <v>40</v>
      </c>
      <c r="E11" s="8">
        <v>16.8</v>
      </c>
      <c r="F11" s="8">
        <v>10.9</v>
      </c>
      <c r="G11" s="8">
        <v>15.4</v>
      </c>
      <c r="H11" s="8">
        <v>9.9</v>
      </c>
      <c r="I11" s="8">
        <v>53.1</v>
      </c>
      <c r="J11" s="8">
        <v>8.1999999999999993</v>
      </c>
      <c r="K11" s="8">
        <v>44.9</v>
      </c>
      <c r="L11" s="9">
        <v>0.15399148152921219</v>
      </c>
    </row>
    <row r="12" spans="1:12" x14ac:dyDescent="0.3">
      <c r="A12" s="7">
        <v>46237</v>
      </c>
      <c r="B12" s="8" t="s">
        <v>43</v>
      </c>
      <c r="C12" s="8" t="s">
        <v>38</v>
      </c>
      <c r="D12" s="8">
        <v>58</v>
      </c>
      <c r="E12" s="8">
        <v>37.700000000000003</v>
      </c>
      <c r="F12" s="8">
        <v>29.5</v>
      </c>
      <c r="G12" s="8">
        <v>29.1</v>
      </c>
      <c r="H12" s="8">
        <v>18.5</v>
      </c>
      <c r="I12" s="8">
        <v>114.7</v>
      </c>
      <c r="J12" s="8">
        <v>17.100000000000001</v>
      </c>
      <c r="K12" s="8">
        <v>97.6</v>
      </c>
      <c r="L12" s="9">
        <v>0.14939688824450931</v>
      </c>
    </row>
    <row r="13" spans="1:12" x14ac:dyDescent="0.3">
      <c r="A13" s="7">
        <v>46237</v>
      </c>
      <c r="B13" s="8" t="s">
        <v>43</v>
      </c>
      <c r="C13" s="8" t="s">
        <v>39</v>
      </c>
      <c r="D13" s="8">
        <v>48</v>
      </c>
      <c r="E13" s="8">
        <v>24.6</v>
      </c>
      <c r="F13" s="8">
        <v>18.399999999999999</v>
      </c>
      <c r="G13" s="8">
        <v>16.100000000000001</v>
      </c>
      <c r="H13" s="8">
        <v>42</v>
      </c>
      <c r="I13" s="8">
        <v>101.2</v>
      </c>
      <c r="J13" s="8">
        <v>12.1</v>
      </c>
      <c r="K13" s="8">
        <v>89.1</v>
      </c>
      <c r="L13" s="9">
        <v>0.1194481550237903</v>
      </c>
    </row>
    <row r="14" spans="1:12" x14ac:dyDescent="0.3">
      <c r="A14" s="7">
        <v>46237</v>
      </c>
      <c r="B14" s="8" t="s">
        <v>43</v>
      </c>
      <c r="C14" s="8" t="s">
        <v>40</v>
      </c>
      <c r="D14" s="8">
        <v>67</v>
      </c>
      <c r="E14" s="8">
        <v>31</v>
      </c>
      <c r="F14" s="8">
        <v>24.6</v>
      </c>
      <c r="G14" s="8">
        <v>26.9</v>
      </c>
      <c r="H14" s="8">
        <v>35</v>
      </c>
      <c r="I14" s="8">
        <v>117.5</v>
      </c>
      <c r="J14" s="8">
        <v>13.6</v>
      </c>
      <c r="K14" s="8">
        <v>103.9</v>
      </c>
      <c r="L14" s="9">
        <v>0.1159176671183659</v>
      </c>
    </row>
    <row r="15" spans="1:12" x14ac:dyDescent="0.3">
      <c r="A15" s="7">
        <v>46237</v>
      </c>
      <c r="B15" s="8" t="s">
        <v>43</v>
      </c>
      <c r="C15" s="8" t="s">
        <v>41</v>
      </c>
      <c r="D15" s="8">
        <v>50</v>
      </c>
      <c r="E15" s="8">
        <v>21.4</v>
      </c>
      <c r="F15" s="8">
        <v>14.2</v>
      </c>
      <c r="G15" s="8">
        <v>15.2</v>
      </c>
      <c r="H15" s="8">
        <v>12.4</v>
      </c>
      <c r="I15" s="8">
        <v>63.1</v>
      </c>
      <c r="J15" s="8">
        <v>9.9</v>
      </c>
      <c r="K15" s="8">
        <v>53.2</v>
      </c>
      <c r="L15" s="9">
        <v>0.1569983890256271</v>
      </c>
    </row>
    <row r="16" spans="1:12" x14ac:dyDescent="0.3">
      <c r="A16" s="7">
        <v>46238</v>
      </c>
      <c r="B16" s="8" t="s">
        <v>44</v>
      </c>
      <c r="C16" s="8" t="s">
        <v>38</v>
      </c>
      <c r="D16" s="8">
        <v>64</v>
      </c>
      <c r="E16" s="8">
        <v>39.6</v>
      </c>
      <c r="F16" s="8">
        <v>28.1</v>
      </c>
      <c r="G16" s="8">
        <v>29.6</v>
      </c>
      <c r="H16" s="8">
        <v>18.7</v>
      </c>
      <c r="I16" s="8">
        <v>116.1</v>
      </c>
      <c r="J16" s="8">
        <v>19.399999999999999</v>
      </c>
      <c r="K16" s="8">
        <v>96.6</v>
      </c>
      <c r="L16" s="9">
        <v>0.16735644272638339</v>
      </c>
    </row>
    <row r="17" spans="1:12" x14ac:dyDescent="0.3">
      <c r="A17" s="7">
        <v>46238</v>
      </c>
      <c r="B17" s="8" t="s">
        <v>44</v>
      </c>
      <c r="C17" s="8" t="s">
        <v>39</v>
      </c>
      <c r="D17" s="8">
        <v>67</v>
      </c>
      <c r="E17" s="8">
        <v>27.1</v>
      </c>
      <c r="F17" s="8">
        <v>19.7</v>
      </c>
      <c r="G17" s="8">
        <v>21.7</v>
      </c>
      <c r="H17" s="8">
        <v>47.8</v>
      </c>
      <c r="I17" s="8">
        <v>116.4</v>
      </c>
      <c r="J17" s="8">
        <v>11.2</v>
      </c>
      <c r="K17" s="8">
        <v>105.2</v>
      </c>
      <c r="L17" s="9">
        <v>9.6128146402779419E-2</v>
      </c>
    </row>
    <row r="18" spans="1:12" x14ac:dyDescent="0.3">
      <c r="A18" s="7">
        <v>46238</v>
      </c>
      <c r="B18" s="8" t="s">
        <v>44</v>
      </c>
      <c r="C18" s="8" t="s">
        <v>40</v>
      </c>
      <c r="D18" s="8">
        <v>80</v>
      </c>
      <c r="E18" s="8">
        <v>35.5</v>
      </c>
      <c r="F18" s="8">
        <v>26.4</v>
      </c>
      <c r="G18" s="8">
        <v>25.7</v>
      </c>
      <c r="H18" s="8">
        <v>33.700000000000003</v>
      </c>
      <c r="I18" s="8">
        <v>121.3</v>
      </c>
      <c r="J18" s="8">
        <v>10.8</v>
      </c>
      <c r="K18" s="8">
        <v>110.5</v>
      </c>
      <c r="L18" s="9">
        <v>8.9371596324943098E-2</v>
      </c>
    </row>
    <row r="19" spans="1:12" x14ac:dyDescent="0.3">
      <c r="A19" s="7">
        <v>46238</v>
      </c>
      <c r="B19" s="8" t="s">
        <v>44</v>
      </c>
      <c r="C19" s="8" t="s">
        <v>41</v>
      </c>
      <c r="D19" s="8">
        <v>63</v>
      </c>
      <c r="E19" s="8">
        <v>22.4</v>
      </c>
      <c r="F19" s="8">
        <v>16.3</v>
      </c>
      <c r="G19" s="8">
        <v>14.1</v>
      </c>
      <c r="H19" s="8">
        <v>11.1</v>
      </c>
      <c r="I19" s="8">
        <v>63.8</v>
      </c>
      <c r="J19" s="8">
        <v>8.8000000000000007</v>
      </c>
      <c r="K19" s="8">
        <v>55.1</v>
      </c>
      <c r="L19" s="9">
        <v>0.13745937004746661</v>
      </c>
    </row>
    <row r="20" spans="1:12" x14ac:dyDescent="0.3">
      <c r="A20" s="7">
        <v>46239</v>
      </c>
      <c r="B20" s="8" t="s">
        <v>45</v>
      </c>
      <c r="C20" s="8" t="s">
        <v>38</v>
      </c>
      <c r="D20" s="8">
        <v>73</v>
      </c>
      <c r="E20" s="8">
        <v>39.6</v>
      </c>
      <c r="F20" s="8">
        <v>30.9</v>
      </c>
      <c r="G20" s="8">
        <v>30.1</v>
      </c>
      <c r="H20" s="8">
        <v>18.5</v>
      </c>
      <c r="I20" s="8">
        <v>119.1</v>
      </c>
      <c r="J20" s="8">
        <v>20.3</v>
      </c>
      <c r="K20" s="8">
        <v>98.8</v>
      </c>
      <c r="L20" s="9">
        <v>0.1703198354748251</v>
      </c>
    </row>
    <row r="21" spans="1:12" x14ac:dyDescent="0.3">
      <c r="A21" s="7">
        <v>46239</v>
      </c>
      <c r="B21" s="8" t="s">
        <v>45</v>
      </c>
      <c r="C21" s="8" t="s">
        <v>39</v>
      </c>
      <c r="D21" s="8">
        <v>57</v>
      </c>
      <c r="E21" s="8">
        <v>25.9</v>
      </c>
      <c r="F21" s="8">
        <v>18</v>
      </c>
      <c r="G21" s="8">
        <v>19.899999999999999</v>
      </c>
      <c r="H21" s="8">
        <v>43.2</v>
      </c>
      <c r="I21" s="8">
        <v>107</v>
      </c>
      <c r="J21" s="8">
        <v>11</v>
      </c>
      <c r="K21" s="8">
        <v>96</v>
      </c>
      <c r="L21" s="9">
        <v>0.10256491915582</v>
      </c>
    </row>
    <row r="22" spans="1:12" x14ac:dyDescent="0.3">
      <c r="A22" s="7">
        <v>46239</v>
      </c>
      <c r="B22" s="8" t="s">
        <v>45</v>
      </c>
      <c r="C22" s="8" t="s">
        <v>40</v>
      </c>
      <c r="D22" s="8">
        <v>87</v>
      </c>
      <c r="E22" s="8">
        <v>36.299999999999997</v>
      </c>
      <c r="F22" s="8">
        <v>27.8</v>
      </c>
      <c r="G22" s="8">
        <v>26</v>
      </c>
      <c r="H22" s="8">
        <v>34.799999999999997</v>
      </c>
      <c r="I22" s="8">
        <v>124.9</v>
      </c>
      <c r="J22" s="8">
        <v>9.4</v>
      </c>
      <c r="K22" s="8">
        <v>115.5</v>
      </c>
      <c r="L22" s="9">
        <v>7.5204680169253205E-2</v>
      </c>
    </row>
    <row r="23" spans="1:12" x14ac:dyDescent="0.3">
      <c r="A23" s="7">
        <v>46239</v>
      </c>
      <c r="B23" s="8" t="s">
        <v>45</v>
      </c>
      <c r="C23" s="8" t="s">
        <v>41</v>
      </c>
      <c r="D23" s="8">
        <v>53</v>
      </c>
      <c r="E23" s="8">
        <v>21.9</v>
      </c>
      <c r="F23" s="8">
        <v>13.7</v>
      </c>
      <c r="G23" s="8">
        <v>14.6</v>
      </c>
      <c r="H23" s="8">
        <v>10.9</v>
      </c>
      <c r="I23" s="8">
        <v>61.1</v>
      </c>
      <c r="J23" s="8">
        <v>9.6</v>
      </c>
      <c r="K23" s="8">
        <v>51.4</v>
      </c>
      <c r="L23" s="9">
        <v>0.1579600974602593</v>
      </c>
    </row>
    <row r="24" spans="1:12" x14ac:dyDescent="0.3">
      <c r="A24" s="7">
        <v>46240</v>
      </c>
      <c r="B24" s="8" t="s">
        <v>46</v>
      </c>
      <c r="C24" s="8" t="s">
        <v>38</v>
      </c>
      <c r="D24" s="8">
        <v>75</v>
      </c>
      <c r="E24" s="8">
        <v>42.4</v>
      </c>
      <c r="F24" s="8">
        <v>31.4</v>
      </c>
      <c r="G24" s="8">
        <v>32.299999999999997</v>
      </c>
      <c r="H24" s="8">
        <v>20.3</v>
      </c>
      <c r="I24" s="8">
        <v>126.4</v>
      </c>
      <c r="J24" s="8">
        <v>23.1</v>
      </c>
      <c r="K24" s="8">
        <v>103.3</v>
      </c>
      <c r="L24" s="9">
        <v>0.18259431104157611</v>
      </c>
    </row>
    <row r="25" spans="1:12" x14ac:dyDescent="0.3">
      <c r="A25" s="7">
        <v>46240</v>
      </c>
      <c r="B25" s="8" t="s">
        <v>46</v>
      </c>
      <c r="C25" s="8" t="s">
        <v>39</v>
      </c>
      <c r="D25" s="8">
        <v>67</v>
      </c>
      <c r="E25" s="8">
        <v>27.6</v>
      </c>
      <c r="F25" s="8">
        <v>19.7</v>
      </c>
      <c r="G25" s="8">
        <v>21.6</v>
      </c>
      <c r="H25" s="8">
        <v>45</v>
      </c>
      <c r="I25" s="8">
        <v>113.9</v>
      </c>
      <c r="J25" s="8">
        <v>14.4</v>
      </c>
      <c r="K25" s="8">
        <v>99.5</v>
      </c>
      <c r="L25" s="9">
        <v>0.12671447828428539</v>
      </c>
    </row>
    <row r="26" spans="1:12" x14ac:dyDescent="0.3">
      <c r="A26" s="7">
        <v>46240</v>
      </c>
      <c r="B26" s="8" t="s">
        <v>46</v>
      </c>
      <c r="C26" s="8" t="s">
        <v>40</v>
      </c>
      <c r="D26" s="8">
        <v>67</v>
      </c>
      <c r="E26" s="8">
        <v>34.6</v>
      </c>
      <c r="F26" s="8">
        <v>24.3</v>
      </c>
      <c r="G26" s="8">
        <v>23.1</v>
      </c>
      <c r="H26" s="8">
        <v>31.6</v>
      </c>
      <c r="I26" s="8">
        <v>113.5</v>
      </c>
      <c r="J26" s="8">
        <v>11.9</v>
      </c>
      <c r="K26" s="8">
        <v>101.6</v>
      </c>
      <c r="L26" s="9">
        <v>0.10503636302522409</v>
      </c>
    </row>
    <row r="27" spans="1:12" x14ac:dyDescent="0.3">
      <c r="A27" s="7">
        <v>46240</v>
      </c>
      <c r="B27" s="8" t="s">
        <v>46</v>
      </c>
      <c r="C27" s="8" t="s">
        <v>41</v>
      </c>
      <c r="D27" s="8">
        <v>43</v>
      </c>
      <c r="E27" s="8">
        <v>18.7</v>
      </c>
      <c r="F27" s="8">
        <v>12.1</v>
      </c>
      <c r="G27" s="8">
        <v>11.1</v>
      </c>
      <c r="H27" s="8">
        <v>11.6</v>
      </c>
      <c r="I27" s="8">
        <v>53.4</v>
      </c>
      <c r="J27" s="8">
        <v>6.2</v>
      </c>
      <c r="K27" s="8">
        <v>47.2</v>
      </c>
      <c r="L27" s="9">
        <v>0.11627504433330731</v>
      </c>
    </row>
    <row r="28" spans="1:12" x14ac:dyDescent="0.3">
      <c r="A28" s="7">
        <v>46241</v>
      </c>
      <c r="B28" s="8" t="s">
        <v>47</v>
      </c>
      <c r="C28" s="8" t="s">
        <v>38</v>
      </c>
      <c r="D28" s="8">
        <v>62</v>
      </c>
      <c r="E28" s="8">
        <v>37.1</v>
      </c>
      <c r="F28" s="8">
        <v>28.4</v>
      </c>
      <c r="G28" s="8">
        <v>29.9</v>
      </c>
      <c r="H28" s="8">
        <v>16.8</v>
      </c>
      <c r="I28" s="8">
        <v>112.2</v>
      </c>
      <c r="J28" s="8">
        <v>17.2</v>
      </c>
      <c r="K28" s="8">
        <v>95</v>
      </c>
      <c r="L28" s="9">
        <v>0.15320817197641409</v>
      </c>
    </row>
    <row r="29" spans="1:12" x14ac:dyDescent="0.3">
      <c r="A29" s="7">
        <v>46241</v>
      </c>
      <c r="B29" s="8" t="s">
        <v>47</v>
      </c>
      <c r="C29" s="8" t="s">
        <v>39</v>
      </c>
      <c r="D29" s="8">
        <v>49</v>
      </c>
      <c r="E29" s="8">
        <v>25.1</v>
      </c>
      <c r="F29" s="8">
        <v>19.2</v>
      </c>
      <c r="G29" s="8">
        <v>16.2</v>
      </c>
      <c r="H29" s="8">
        <v>43.8</v>
      </c>
      <c r="I29" s="8">
        <v>104.3</v>
      </c>
      <c r="J29" s="8">
        <v>11.5</v>
      </c>
      <c r="K29" s="8">
        <v>92.8</v>
      </c>
      <c r="L29" s="9">
        <v>0.110592615710901</v>
      </c>
    </row>
    <row r="30" spans="1:12" x14ac:dyDescent="0.3">
      <c r="A30" s="7">
        <v>46241</v>
      </c>
      <c r="B30" s="8" t="s">
        <v>47</v>
      </c>
      <c r="C30" s="8" t="s">
        <v>40</v>
      </c>
      <c r="D30" s="8">
        <v>70</v>
      </c>
      <c r="E30" s="8">
        <v>32.6</v>
      </c>
      <c r="F30" s="8">
        <v>24.2</v>
      </c>
      <c r="G30" s="8">
        <v>23</v>
      </c>
      <c r="H30" s="8">
        <v>35.5</v>
      </c>
      <c r="I30" s="8">
        <v>115.4</v>
      </c>
      <c r="J30" s="8">
        <v>9.6</v>
      </c>
      <c r="K30" s="8">
        <v>105.8</v>
      </c>
      <c r="L30" s="9">
        <v>8.3071930526321586E-2</v>
      </c>
    </row>
    <row r="31" spans="1:12" x14ac:dyDescent="0.3">
      <c r="A31" s="7">
        <v>46241</v>
      </c>
      <c r="B31" s="8" t="s">
        <v>47</v>
      </c>
      <c r="C31" s="8" t="s">
        <v>41</v>
      </c>
      <c r="D31" s="8">
        <v>40</v>
      </c>
      <c r="E31" s="8">
        <v>21.5</v>
      </c>
      <c r="F31" s="8">
        <v>12.5</v>
      </c>
      <c r="G31" s="8">
        <v>11.8</v>
      </c>
      <c r="H31" s="8">
        <v>13.1</v>
      </c>
      <c r="I31" s="8">
        <v>59</v>
      </c>
      <c r="J31" s="8">
        <v>9.5</v>
      </c>
      <c r="K31" s="8">
        <v>49.5</v>
      </c>
      <c r="L31" s="9">
        <v>0.16070728913956969</v>
      </c>
    </row>
    <row r="32" spans="1:12" x14ac:dyDescent="0.3">
      <c r="A32" s="7">
        <v>46242</v>
      </c>
      <c r="B32" s="8" t="s">
        <v>37</v>
      </c>
      <c r="C32" s="8" t="s">
        <v>38</v>
      </c>
      <c r="D32" s="8">
        <v>62</v>
      </c>
      <c r="E32" s="8">
        <v>35.799999999999997</v>
      </c>
      <c r="F32" s="8">
        <v>27.3</v>
      </c>
      <c r="G32" s="8">
        <v>29.5</v>
      </c>
      <c r="H32" s="8">
        <v>17.7</v>
      </c>
      <c r="I32" s="8">
        <v>110.3</v>
      </c>
      <c r="J32" s="8">
        <v>16.3</v>
      </c>
      <c r="K32" s="8">
        <v>93.9</v>
      </c>
      <c r="L32" s="9">
        <v>0.1480557598614681</v>
      </c>
    </row>
    <row r="33" spans="1:12" x14ac:dyDescent="0.3">
      <c r="A33" s="7">
        <v>46242</v>
      </c>
      <c r="B33" s="8" t="s">
        <v>37</v>
      </c>
      <c r="C33" s="8" t="s">
        <v>39</v>
      </c>
      <c r="D33" s="8">
        <v>39</v>
      </c>
      <c r="E33" s="8">
        <v>20.100000000000001</v>
      </c>
      <c r="F33" s="8">
        <v>14.1</v>
      </c>
      <c r="G33" s="8">
        <v>19</v>
      </c>
      <c r="H33" s="8">
        <v>40.299999999999997</v>
      </c>
      <c r="I33" s="8">
        <v>93.6</v>
      </c>
      <c r="J33" s="8">
        <v>11.2</v>
      </c>
      <c r="K33" s="8">
        <v>82.3</v>
      </c>
      <c r="L33" s="9">
        <v>0.1201348511612657</v>
      </c>
    </row>
    <row r="34" spans="1:12" x14ac:dyDescent="0.3">
      <c r="A34" s="7">
        <v>46242</v>
      </c>
      <c r="B34" s="8" t="s">
        <v>37</v>
      </c>
      <c r="C34" s="8" t="s">
        <v>40</v>
      </c>
      <c r="D34" s="8">
        <v>68</v>
      </c>
      <c r="E34" s="8">
        <v>30.2</v>
      </c>
      <c r="F34" s="8">
        <v>23.6</v>
      </c>
      <c r="G34" s="8">
        <v>23.4</v>
      </c>
      <c r="H34" s="8">
        <v>33.700000000000003</v>
      </c>
      <c r="I34" s="8">
        <v>110.9</v>
      </c>
      <c r="J34" s="8">
        <v>12.8</v>
      </c>
      <c r="K34" s="8">
        <v>98.1</v>
      </c>
      <c r="L34" s="9">
        <v>0.1153039292392834</v>
      </c>
    </row>
    <row r="35" spans="1:12" x14ac:dyDescent="0.3">
      <c r="A35" s="7">
        <v>46242</v>
      </c>
      <c r="B35" s="8" t="s">
        <v>37</v>
      </c>
      <c r="C35" s="8" t="s">
        <v>41</v>
      </c>
      <c r="D35" s="8">
        <v>34</v>
      </c>
      <c r="E35" s="8">
        <v>15.6</v>
      </c>
      <c r="F35" s="8">
        <v>11.2</v>
      </c>
      <c r="G35" s="8">
        <v>14</v>
      </c>
      <c r="H35" s="8">
        <v>10.5</v>
      </c>
      <c r="I35" s="8">
        <v>51.3</v>
      </c>
      <c r="J35" s="8">
        <v>6</v>
      </c>
      <c r="K35" s="8">
        <v>45.3</v>
      </c>
      <c r="L35" s="9">
        <v>0.1164490075370683</v>
      </c>
    </row>
    <row r="36" spans="1:12" x14ac:dyDescent="0.3">
      <c r="A36" s="7">
        <v>46243</v>
      </c>
      <c r="B36" s="8" t="s">
        <v>42</v>
      </c>
      <c r="C36" s="8" t="s">
        <v>38</v>
      </c>
      <c r="D36" s="8">
        <v>38</v>
      </c>
      <c r="E36" s="8">
        <v>29</v>
      </c>
      <c r="F36" s="8">
        <v>21.2</v>
      </c>
      <c r="G36" s="8">
        <v>26.8</v>
      </c>
      <c r="H36" s="8">
        <v>15.8</v>
      </c>
      <c r="I36" s="8">
        <v>92.8</v>
      </c>
      <c r="J36" s="8">
        <v>14.1</v>
      </c>
      <c r="K36" s="8">
        <v>78.7</v>
      </c>
      <c r="L36" s="9">
        <v>0.15221404621274309</v>
      </c>
    </row>
    <row r="37" spans="1:12" x14ac:dyDescent="0.3">
      <c r="A37" s="7">
        <v>46243</v>
      </c>
      <c r="B37" s="8" t="s">
        <v>42</v>
      </c>
      <c r="C37" s="8" t="s">
        <v>39</v>
      </c>
      <c r="D37" s="8">
        <v>51</v>
      </c>
      <c r="E37" s="8">
        <v>24.2</v>
      </c>
      <c r="F37" s="8">
        <v>15.8</v>
      </c>
      <c r="G37" s="8">
        <v>20.8</v>
      </c>
      <c r="H37" s="8">
        <v>40.700000000000003</v>
      </c>
      <c r="I37" s="8">
        <v>101.5</v>
      </c>
      <c r="J37" s="8">
        <v>10.8</v>
      </c>
      <c r="K37" s="8">
        <v>90.7</v>
      </c>
      <c r="L37" s="9">
        <v>0.1063422913365364</v>
      </c>
    </row>
    <row r="38" spans="1:12" x14ac:dyDescent="0.3">
      <c r="A38" s="7">
        <v>46243</v>
      </c>
      <c r="B38" s="8" t="s">
        <v>42</v>
      </c>
      <c r="C38" s="8" t="s">
        <v>40</v>
      </c>
      <c r="D38" s="8">
        <v>54</v>
      </c>
      <c r="E38" s="8">
        <v>26.5</v>
      </c>
      <c r="F38" s="8">
        <v>21.7</v>
      </c>
      <c r="G38" s="8">
        <v>22</v>
      </c>
      <c r="H38" s="8">
        <v>30.9</v>
      </c>
      <c r="I38" s="8">
        <v>101.2</v>
      </c>
      <c r="J38" s="8">
        <v>7.6</v>
      </c>
      <c r="K38" s="8">
        <v>93.6</v>
      </c>
      <c r="L38" s="9">
        <v>7.509541566650324E-2</v>
      </c>
    </row>
    <row r="39" spans="1:12" x14ac:dyDescent="0.3">
      <c r="A39" s="7">
        <v>46243</v>
      </c>
      <c r="B39" s="8" t="s">
        <v>42</v>
      </c>
      <c r="C39" s="8" t="s">
        <v>41</v>
      </c>
      <c r="D39" s="8">
        <v>42</v>
      </c>
      <c r="E39" s="8">
        <v>18.2</v>
      </c>
      <c r="F39" s="8">
        <v>12.8</v>
      </c>
      <c r="G39" s="8">
        <v>12.7</v>
      </c>
      <c r="H39" s="8">
        <v>9.6999999999999993</v>
      </c>
      <c r="I39" s="8">
        <v>53.4</v>
      </c>
      <c r="J39" s="8">
        <v>7.2</v>
      </c>
      <c r="K39" s="8">
        <v>46.2</v>
      </c>
      <c r="L39" s="9">
        <v>0.13442678719099721</v>
      </c>
    </row>
    <row r="40" spans="1:12" x14ac:dyDescent="0.3">
      <c r="A40" s="7">
        <v>46244</v>
      </c>
      <c r="B40" s="8" t="s">
        <v>43</v>
      </c>
      <c r="C40" s="8" t="s">
        <v>38</v>
      </c>
      <c r="D40" s="8">
        <v>78</v>
      </c>
      <c r="E40" s="8">
        <v>42.1</v>
      </c>
      <c r="F40" s="8">
        <v>31.1</v>
      </c>
      <c r="G40" s="8">
        <v>33.299999999999997</v>
      </c>
      <c r="H40" s="8">
        <v>20</v>
      </c>
      <c r="I40" s="8">
        <v>126.5</v>
      </c>
      <c r="J40" s="8">
        <v>19.2</v>
      </c>
      <c r="K40" s="8">
        <v>107.3</v>
      </c>
      <c r="L40" s="9">
        <v>0.1516258599932305</v>
      </c>
    </row>
    <row r="41" spans="1:12" x14ac:dyDescent="0.3">
      <c r="A41" s="7">
        <v>46244</v>
      </c>
      <c r="B41" s="8" t="s">
        <v>43</v>
      </c>
      <c r="C41" s="8" t="s">
        <v>39</v>
      </c>
      <c r="D41" s="8">
        <v>69</v>
      </c>
      <c r="E41" s="8">
        <v>27.9</v>
      </c>
      <c r="F41" s="8">
        <v>21.6</v>
      </c>
      <c r="G41" s="8">
        <v>19.8</v>
      </c>
      <c r="H41" s="8">
        <v>48.4</v>
      </c>
      <c r="I41" s="8">
        <v>117.8</v>
      </c>
      <c r="J41" s="8">
        <v>12.2</v>
      </c>
      <c r="K41" s="8">
        <v>105.6</v>
      </c>
      <c r="L41" s="9">
        <v>0.1035001829985948</v>
      </c>
    </row>
    <row r="42" spans="1:12" x14ac:dyDescent="0.3">
      <c r="A42" s="7">
        <v>46244</v>
      </c>
      <c r="B42" s="8" t="s">
        <v>43</v>
      </c>
      <c r="C42" s="8" t="s">
        <v>40</v>
      </c>
      <c r="D42" s="8">
        <v>70</v>
      </c>
      <c r="E42" s="8">
        <v>33.6</v>
      </c>
      <c r="F42" s="8">
        <v>24.8</v>
      </c>
      <c r="G42" s="8">
        <v>22.7</v>
      </c>
      <c r="H42" s="8">
        <v>34.700000000000003</v>
      </c>
      <c r="I42" s="8">
        <v>115.7</v>
      </c>
      <c r="J42" s="8">
        <v>12.2</v>
      </c>
      <c r="K42" s="8">
        <v>103.5</v>
      </c>
      <c r="L42" s="9">
        <v>0.1055786668608004</v>
      </c>
    </row>
    <row r="43" spans="1:12" x14ac:dyDescent="0.3">
      <c r="A43" s="7">
        <v>46244</v>
      </c>
      <c r="B43" s="8" t="s">
        <v>43</v>
      </c>
      <c r="C43" s="8" t="s">
        <v>41</v>
      </c>
      <c r="D43" s="8">
        <v>59</v>
      </c>
      <c r="E43" s="8">
        <v>22.9</v>
      </c>
      <c r="F43" s="8">
        <v>14.3</v>
      </c>
      <c r="G43" s="8">
        <v>17.399999999999999</v>
      </c>
      <c r="H43" s="8">
        <v>13.3</v>
      </c>
      <c r="I43" s="8">
        <v>67.900000000000006</v>
      </c>
      <c r="J43" s="8">
        <v>8.3000000000000007</v>
      </c>
      <c r="K43" s="8">
        <v>59.6</v>
      </c>
      <c r="L43" s="9">
        <v>0.12154919260047251</v>
      </c>
    </row>
    <row r="44" spans="1:12" x14ac:dyDescent="0.3">
      <c r="A44" s="7">
        <v>46245</v>
      </c>
      <c r="B44" s="8" t="s">
        <v>44</v>
      </c>
      <c r="C44" s="8" t="s">
        <v>38</v>
      </c>
      <c r="D44" s="8">
        <v>56</v>
      </c>
      <c r="E44" s="8">
        <v>38.1</v>
      </c>
      <c r="F44" s="8">
        <v>26.8</v>
      </c>
      <c r="G44" s="8">
        <v>29.8</v>
      </c>
      <c r="H44" s="8">
        <v>18.399999999999999</v>
      </c>
      <c r="I44" s="8">
        <v>113.1</v>
      </c>
      <c r="J44" s="8">
        <v>16.100000000000001</v>
      </c>
      <c r="K44" s="8">
        <v>97.1</v>
      </c>
      <c r="L44" s="9">
        <v>0.14196253643699339</v>
      </c>
    </row>
    <row r="45" spans="1:12" x14ac:dyDescent="0.3">
      <c r="A45" s="7">
        <v>46245</v>
      </c>
      <c r="B45" s="8" t="s">
        <v>44</v>
      </c>
      <c r="C45" s="8" t="s">
        <v>39</v>
      </c>
      <c r="D45" s="8">
        <v>52</v>
      </c>
      <c r="E45" s="8">
        <v>24.4</v>
      </c>
      <c r="F45" s="8">
        <v>17.399999999999999</v>
      </c>
      <c r="G45" s="8">
        <v>20.100000000000001</v>
      </c>
      <c r="H45" s="8">
        <v>43.4</v>
      </c>
      <c r="I45" s="8">
        <v>105.3</v>
      </c>
      <c r="J45" s="8">
        <v>11.3</v>
      </c>
      <c r="K45" s="8">
        <v>94.1</v>
      </c>
      <c r="L45" s="9">
        <v>0.1070269696279167</v>
      </c>
    </row>
    <row r="46" spans="1:12" x14ac:dyDescent="0.3">
      <c r="A46" s="7">
        <v>46245</v>
      </c>
      <c r="B46" s="8" t="s">
        <v>44</v>
      </c>
      <c r="C46" s="8" t="s">
        <v>40</v>
      </c>
      <c r="D46" s="8">
        <v>84</v>
      </c>
      <c r="E46" s="8">
        <v>36</v>
      </c>
      <c r="F46" s="8">
        <v>28</v>
      </c>
      <c r="G46" s="8">
        <v>26.1</v>
      </c>
      <c r="H46" s="8">
        <v>33.4</v>
      </c>
      <c r="I46" s="8">
        <v>123.5</v>
      </c>
      <c r="J46" s="8">
        <v>13.8</v>
      </c>
      <c r="K46" s="8">
        <v>109.7</v>
      </c>
      <c r="L46" s="9">
        <v>0.1119961024648637</v>
      </c>
    </row>
    <row r="47" spans="1:12" x14ac:dyDescent="0.3">
      <c r="A47" s="7">
        <v>46245</v>
      </c>
      <c r="B47" s="8" t="s">
        <v>44</v>
      </c>
      <c r="C47" s="8" t="s">
        <v>41</v>
      </c>
      <c r="D47" s="8">
        <v>54</v>
      </c>
      <c r="E47" s="8">
        <v>22.9</v>
      </c>
      <c r="F47" s="8">
        <v>14.4</v>
      </c>
      <c r="G47" s="8">
        <v>15.3</v>
      </c>
      <c r="H47" s="8">
        <v>14.4</v>
      </c>
      <c r="I47" s="8">
        <v>67</v>
      </c>
      <c r="J47" s="8">
        <v>10.6</v>
      </c>
      <c r="K47" s="8">
        <v>56.3</v>
      </c>
      <c r="L47" s="9">
        <v>0.15890843901844659</v>
      </c>
    </row>
    <row r="48" spans="1:12" x14ac:dyDescent="0.3">
      <c r="A48" s="7">
        <v>46246</v>
      </c>
      <c r="B48" s="8" t="s">
        <v>45</v>
      </c>
      <c r="C48" s="8" t="s">
        <v>38</v>
      </c>
      <c r="D48" s="8">
        <v>60</v>
      </c>
      <c r="E48" s="8">
        <v>38.200000000000003</v>
      </c>
      <c r="F48" s="8">
        <v>27.3</v>
      </c>
      <c r="G48" s="8">
        <v>29.2</v>
      </c>
      <c r="H48" s="8">
        <v>17.100000000000001</v>
      </c>
      <c r="I48" s="8">
        <v>111.8</v>
      </c>
      <c r="J48" s="8">
        <v>16.100000000000001</v>
      </c>
      <c r="K48" s="8">
        <v>95.7</v>
      </c>
      <c r="L48" s="9">
        <v>0.14415539436360991</v>
      </c>
    </row>
    <row r="49" spans="1:12" x14ac:dyDescent="0.3">
      <c r="A49" s="7">
        <v>46246</v>
      </c>
      <c r="B49" s="8" t="s">
        <v>45</v>
      </c>
      <c r="C49" s="8" t="s">
        <v>39</v>
      </c>
      <c r="D49" s="8">
        <v>46</v>
      </c>
      <c r="E49" s="8">
        <v>23.2</v>
      </c>
      <c r="F49" s="8">
        <v>16.3</v>
      </c>
      <c r="G49" s="8">
        <v>19.2</v>
      </c>
      <c r="H49" s="8">
        <v>44</v>
      </c>
      <c r="I49" s="8">
        <v>102.8</v>
      </c>
      <c r="J49" s="8">
        <v>10.4</v>
      </c>
      <c r="K49" s="8">
        <v>92.4</v>
      </c>
      <c r="L49" s="9">
        <v>0.1010168305622323</v>
      </c>
    </row>
    <row r="50" spans="1:12" x14ac:dyDescent="0.3">
      <c r="A50" s="7">
        <v>46246</v>
      </c>
      <c r="B50" s="8" t="s">
        <v>45</v>
      </c>
      <c r="C50" s="8" t="s">
        <v>40</v>
      </c>
      <c r="D50" s="8">
        <v>67</v>
      </c>
      <c r="E50" s="8">
        <v>32.700000000000003</v>
      </c>
      <c r="F50" s="8">
        <v>24.6</v>
      </c>
      <c r="G50" s="8">
        <v>23.7</v>
      </c>
      <c r="H50" s="8">
        <v>35</v>
      </c>
      <c r="I50" s="8">
        <v>116.1</v>
      </c>
      <c r="J50" s="8">
        <v>9.3000000000000007</v>
      </c>
      <c r="K50" s="8">
        <v>106.8</v>
      </c>
      <c r="L50" s="9">
        <v>8.0305470855246419E-2</v>
      </c>
    </row>
    <row r="51" spans="1:12" x14ac:dyDescent="0.3">
      <c r="A51" s="7">
        <v>46246</v>
      </c>
      <c r="B51" s="8" t="s">
        <v>45</v>
      </c>
      <c r="C51" s="8" t="s">
        <v>41</v>
      </c>
      <c r="D51" s="8">
        <v>57</v>
      </c>
      <c r="E51" s="8">
        <v>20.8</v>
      </c>
      <c r="F51" s="8">
        <v>13.2</v>
      </c>
      <c r="G51" s="8">
        <v>12.6</v>
      </c>
      <c r="H51" s="8">
        <v>10.9</v>
      </c>
      <c r="I51" s="8">
        <v>57.5</v>
      </c>
      <c r="J51" s="8">
        <v>7.9</v>
      </c>
      <c r="K51" s="8">
        <v>49.6</v>
      </c>
      <c r="L51" s="9">
        <v>0.13760879634385159</v>
      </c>
    </row>
    <row r="52" spans="1:12" x14ac:dyDescent="0.3">
      <c r="A52" s="7">
        <v>46247</v>
      </c>
      <c r="B52" s="8" t="s">
        <v>46</v>
      </c>
      <c r="C52" s="8" t="s">
        <v>38</v>
      </c>
      <c r="D52" s="8">
        <v>56</v>
      </c>
      <c r="E52" s="8">
        <v>38.799999999999997</v>
      </c>
      <c r="F52" s="8">
        <v>27.8</v>
      </c>
      <c r="G52" s="8">
        <v>29.6</v>
      </c>
      <c r="H52" s="8">
        <v>17.7</v>
      </c>
      <c r="I52" s="8">
        <v>114</v>
      </c>
      <c r="J52" s="8">
        <v>18.3</v>
      </c>
      <c r="K52" s="8">
        <v>95.8</v>
      </c>
      <c r="L52" s="9">
        <v>0.1602776565425611</v>
      </c>
    </row>
    <row r="53" spans="1:12" x14ac:dyDescent="0.3">
      <c r="A53" s="7">
        <v>46247</v>
      </c>
      <c r="B53" s="8" t="s">
        <v>46</v>
      </c>
      <c r="C53" s="8" t="s">
        <v>39</v>
      </c>
      <c r="D53" s="8">
        <v>62</v>
      </c>
      <c r="E53" s="8">
        <v>26.3</v>
      </c>
      <c r="F53" s="8">
        <v>19.399999999999999</v>
      </c>
      <c r="G53" s="8">
        <v>18.100000000000001</v>
      </c>
      <c r="H53" s="8">
        <v>47.7</v>
      </c>
      <c r="I53" s="8">
        <v>111.5</v>
      </c>
      <c r="J53" s="8">
        <v>13.4</v>
      </c>
      <c r="K53" s="8">
        <v>98</v>
      </c>
      <c r="L53" s="9">
        <v>0.12038759296443351</v>
      </c>
    </row>
    <row r="54" spans="1:12" x14ac:dyDescent="0.3">
      <c r="A54" s="7">
        <v>46247</v>
      </c>
      <c r="B54" s="8" t="s">
        <v>46</v>
      </c>
      <c r="C54" s="8" t="s">
        <v>40</v>
      </c>
      <c r="D54" s="8">
        <v>73</v>
      </c>
      <c r="E54" s="8">
        <v>35.299999999999997</v>
      </c>
      <c r="F54" s="8">
        <v>26.7</v>
      </c>
      <c r="G54" s="8">
        <v>26.4</v>
      </c>
      <c r="H54" s="8">
        <v>33.1</v>
      </c>
      <c r="I54" s="8">
        <v>121.5</v>
      </c>
      <c r="J54" s="8">
        <v>12.5</v>
      </c>
      <c r="K54" s="8">
        <v>109</v>
      </c>
      <c r="L54" s="9">
        <v>0.10297569032488579</v>
      </c>
    </row>
    <row r="55" spans="1:12" x14ac:dyDescent="0.3">
      <c r="A55" s="7">
        <v>46247</v>
      </c>
      <c r="B55" s="8" t="s">
        <v>46</v>
      </c>
      <c r="C55" s="8" t="s">
        <v>41</v>
      </c>
      <c r="D55" s="8">
        <v>46</v>
      </c>
      <c r="E55" s="8">
        <v>19.100000000000001</v>
      </c>
      <c r="F55" s="8">
        <v>12.4</v>
      </c>
      <c r="G55" s="8">
        <v>15.5</v>
      </c>
      <c r="H55" s="8">
        <v>12.1</v>
      </c>
      <c r="I55" s="8">
        <v>59.1</v>
      </c>
      <c r="J55" s="8">
        <v>7</v>
      </c>
      <c r="K55" s="8">
        <v>52.1</v>
      </c>
      <c r="L55" s="9">
        <v>0.11862730498282439</v>
      </c>
    </row>
    <row r="56" spans="1:12" x14ac:dyDescent="0.3">
      <c r="A56" s="7">
        <v>46248</v>
      </c>
      <c r="B56" s="8" t="s">
        <v>47</v>
      </c>
      <c r="C56" s="8" t="s">
        <v>38</v>
      </c>
      <c r="D56" s="8">
        <v>63</v>
      </c>
      <c r="E56" s="8">
        <v>37.6</v>
      </c>
      <c r="F56" s="8">
        <v>28.7</v>
      </c>
      <c r="G56" s="8">
        <v>29.2</v>
      </c>
      <c r="H56" s="8">
        <v>15.7</v>
      </c>
      <c r="I56" s="8">
        <v>111.2</v>
      </c>
      <c r="J56" s="8">
        <v>19.3</v>
      </c>
      <c r="K56" s="8">
        <v>91.9</v>
      </c>
      <c r="L56" s="9">
        <v>0.1738466295430238</v>
      </c>
    </row>
    <row r="57" spans="1:12" x14ac:dyDescent="0.3">
      <c r="A57" s="7">
        <v>46248</v>
      </c>
      <c r="B57" s="8" t="s">
        <v>47</v>
      </c>
      <c r="C57" s="8" t="s">
        <v>39</v>
      </c>
      <c r="D57" s="8">
        <v>68</v>
      </c>
      <c r="E57" s="8">
        <v>27.6</v>
      </c>
      <c r="F57" s="8">
        <v>19.399999999999999</v>
      </c>
      <c r="G57" s="8">
        <v>21</v>
      </c>
      <c r="H57" s="8">
        <v>45.3</v>
      </c>
      <c r="I57" s="8">
        <v>113.3</v>
      </c>
      <c r="J57" s="8">
        <v>13.4</v>
      </c>
      <c r="K57" s="8">
        <v>99.9</v>
      </c>
      <c r="L57" s="9">
        <v>0.11838679143026019</v>
      </c>
    </row>
    <row r="58" spans="1:12" x14ac:dyDescent="0.3">
      <c r="A58" s="7">
        <v>46248</v>
      </c>
      <c r="B58" s="8" t="s">
        <v>47</v>
      </c>
      <c r="C58" s="8" t="s">
        <v>40</v>
      </c>
      <c r="D58" s="8">
        <v>89</v>
      </c>
      <c r="E58" s="8">
        <v>36.4</v>
      </c>
      <c r="F58" s="8">
        <v>27.8</v>
      </c>
      <c r="G58" s="8">
        <v>29.9</v>
      </c>
      <c r="H58" s="8">
        <v>38.6</v>
      </c>
      <c r="I58" s="8">
        <v>132.69999999999999</v>
      </c>
      <c r="J58" s="8">
        <v>15.5</v>
      </c>
      <c r="K58" s="8">
        <v>117.2</v>
      </c>
      <c r="L58" s="9">
        <v>0.11662223347414739</v>
      </c>
    </row>
    <row r="59" spans="1:12" x14ac:dyDescent="0.3">
      <c r="A59" s="7">
        <v>46248</v>
      </c>
      <c r="B59" s="8" t="s">
        <v>47</v>
      </c>
      <c r="C59" s="8" t="s">
        <v>41</v>
      </c>
      <c r="D59" s="8">
        <v>45</v>
      </c>
      <c r="E59" s="8">
        <v>22.4</v>
      </c>
      <c r="F59" s="8">
        <v>13.2</v>
      </c>
      <c r="G59" s="8">
        <v>14.8</v>
      </c>
      <c r="H59" s="8">
        <v>12</v>
      </c>
      <c r="I59" s="8">
        <v>62.3</v>
      </c>
      <c r="J59" s="8">
        <v>8.3000000000000007</v>
      </c>
      <c r="K59" s="8">
        <v>54</v>
      </c>
      <c r="L59" s="9">
        <v>0.13283073966150191</v>
      </c>
    </row>
    <row r="60" spans="1:12" x14ac:dyDescent="0.3">
      <c r="A60" s="7">
        <v>46249</v>
      </c>
      <c r="B60" s="8" t="s">
        <v>37</v>
      </c>
      <c r="C60" s="8" t="s">
        <v>38</v>
      </c>
      <c r="D60" s="8">
        <v>40</v>
      </c>
      <c r="E60" s="8">
        <v>27.6</v>
      </c>
      <c r="F60" s="8">
        <v>22.7</v>
      </c>
      <c r="G60" s="8">
        <v>26.8</v>
      </c>
      <c r="H60" s="8">
        <v>15.1</v>
      </c>
      <c r="I60" s="8">
        <v>92.1</v>
      </c>
      <c r="J60" s="8">
        <v>12.5</v>
      </c>
      <c r="K60" s="8">
        <v>79.599999999999994</v>
      </c>
      <c r="L60" s="9">
        <v>0.13590409904135189</v>
      </c>
    </row>
    <row r="61" spans="1:12" x14ac:dyDescent="0.3">
      <c r="A61" s="7">
        <v>46249</v>
      </c>
      <c r="B61" s="8" t="s">
        <v>37</v>
      </c>
      <c r="C61" s="8" t="s">
        <v>39</v>
      </c>
      <c r="D61" s="8">
        <v>38</v>
      </c>
      <c r="E61" s="8">
        <v>19.7</v>
      </c>
      <c r="F61" s="8">
        <v>16.2</v>
      </c>
      <c r="G61" s="8">
        <v>17</v>
      </c>
      <c r="H61" s="8">
        <v>38</v>
      </c>
      <c r="I61" s="8">
        <v>90.9</v>
      </c>
      <c r="J61" s="8">
        <v>12.8</v>
      </c>
      <c r="K61" s="8">
        <v>78.099999999999994</v>
      </c>
      <c r="L61" s="9">
        <v>0.14092740751369409</v>
      </c>
    </row>
    <row r="62" spans="1:12" x14ac:dyDescent="0.3">
      <c r="A62" s="7">
        <v>46249</v>
      </c>
      <c r="B62" s="8" t="s">
        <v>37</v>
      </c>
      <c r="C62" s="8" t="s">
        <v>40</v>
      </c>
      <c r="D62" s="8">
        <v>55</v>
      </c>
      <c r="E62" s="8">
        <v>25.2</v>
      </c>
      <c r="F62" s="8">
        <v>19.7</v>
      </c>
      <c r="G62" s="8">
        <v>25.3</v>
      </c>
      <c r="H62" s="8">
        <v>28.2</v>
      </c>
      <c r="I62" s="8">
        <v>98.4</v>
      </c>
      <c r="J62" s="8">
        <v>11.2</v>
      </c>
      <c r="K62" s="8">
        <v>87.2</v>
      </c>
      <c r="L62" s="9">
        <v>0.1139498715033946</v>
      </c>
    </row>
    <row r="63" spans="1:12" x14ac:dyDescent="0.3">
      <c r="A63" s="7">
        <v>46249</v>
      </c>
      <c r="B63" s="8" t="s">
        <v>37</v>
      </c>
      <c r="C63" s="8" t="s">
        <v>41</v>
      </c>
      <c r="D63" s="8">
        <v>30</v>
      </c>
      <c r="E63" s="8">
        <v>17.5</v>
      </c>
      <c r="F63" s="8">
        <v>11.8</v>
      </c>
      <c r="G63" s="8">
        <v>13.7</v>
      </c>
      <c r="H63" s="8">
        <v>11.9</v>
      </c>
      <c r="I63" s="8">
        <v>55</v>
      </c>
      <c r="J63" s="8">
        <v>8.9</v>
      </c>
      <c r="K63" s="8">
        <v>46</v>
      </c>
      <c r="L63" s="9">
        <v>0.16230007807113569</v>
      </c>
    </row>
    <row r="64" spans="1:12" x14ac:dyDescent="0.3">
      <c r="A64" s="7">
        <v>46250</v>
      </c>
      <c r="B64" s="8" t="s">
        <v>42</v>
      </c>
      <c r="C64" s="8" t="s">
        <v>38</v>
      </c>
      <c r="D64" s="8">
        <v>50</v>
      </c>
      <c r="E64" s="8">
        <v>33.200000000000003</v>
      </c>
      <c r="F64" s="8">
        <v>24.4</v>
      </c>
      <c r="G64" s="8">
        <v>25.6</v>
      </c>
      <c r="H64" s="8">
        <v>17</v>
      </c>
      <c r="I64" s="8">
        <v>100.1</v>
      </c>
      <c r="J64" s="8">
        <v>14</v>
      </c>
      <c r="K64" s="8">
        <v>86.2</v>
      </c>
      <c r="L64" s="9">
        <v>0.13947311039234039</v>
      </c>
    </row>
    <row r="65" spans="1:12" x14ac:dyDescent="0.3">
      <c r="A65" s="7">
        <v>46250</v>
      </c>
      <c r="B65" s="8" t="s">
        <v>42</v>
      </c>
      <c r="C65" s="8" t="s">
        <v>39</v>
      </c>
      <c r="D65" s="8">
        <v>29</v>
      </c>
      <c r="E65" s="8">
        <v>18</v>
      </c>
      <c r="F65" s="8">
        <v>15</v>
      </c>
      <c r="G65" s="8">
        <v>17.399999999999999</v>
      </c>
      <c r="H65" s="8">
        <v>37.4</v>
      </c>
      <c r="I65" s="8">
        <v>87.7</v>
      </c>
      <c r="J65" s="8">
        <v>8.4</v>
      </c>
      <c r="K65" s="8">
        <v>79.3</v>
      </c>
      <c r="L65" s="9">
        <v>9.5841586155608116E-2</v>
      </c>
    </row>
    <row r="66" spans="1:12" x14ac:dyDescent="0.3">
      <c r="A66" s="7">
        <v>46250</v>
      </c>
      <c r="B66" s="8" t="s">
        <v>42</v>
      </c>
      <c r="C66" s="8" t="s">
        <v>40</v>
      </c>
      <c r="D66" s="8">
        <v>50</v>
      </c>
      <c r="E66" s="8">
        <v>24.3</v>
      </c>
      <c r="F66" s="8">
        <v>20.8</v>
      </c>
      <c r="G66" s="8">
        <v>23.8</v>
      </c>
      <c r="H66" s="8">
        <v>27.8</v>
      </c>
      <c r="I66" s="8">
        <v>96.6</v>
      </c>
      <c r="J66" s="8">
        <v>11.4</v>
      </c>
      <c r="K66" s="8">
        <v>85.2</v>
      </c>
      <c r="L66" s="9">
        <v>0.1181387484526923</v>
      </c>
    </row>
    <row r="67" spans="1:12" x14ac:dyDescent="0.3">
      <c r="A67" s="7">
        <v>46250</v>
      </c>
      <c r="B67" s="8" t="s">
        <v>42</v>
      </c>
      <c r="C67" s="8" t="s">
        <v>41</v>
      </c>
      <c r="D67" s="8">
        <v>36</v>
      </c>
      <c r="E67" s="8">
        <v>18.899999999999999</v>
      </c>
      <c r="F67" s="8">
        <v>11.1</v>
      </c>
      <c r="G67" s="8">
        <v>10.5</v>
      </c>
      <c r="H67" s="8">
        <v>13.4</v>
      </c>
      <c r="I67" s="8">
        <v>53.9</v>
      </c>
      <c r="J67" s="8">
        <v>7.9</v>
      </c>
      <c r="K67" s="8">
        <v>46</v>
      </c>
      <c r="L67" s="9">
        <v>0.14608517271623939</v>
      </c>
    </row>
    <row r="68" spans="1:12" x14ac:dyDescent="0.3">
      <c r="A68" s="7">
        <v>46251</v>
      </c>
      <c r="B68" s="8" t="s">
        <v>43</v>
      </c>
      <c r="C68" s="8" t="s">
        <v>38</v>
      </c>
      <c r="D68" s="8">
        <v>57</v>
      </c>
      <c r="E68" s="8">
        <v>36.4</v>
      </c>
      <c r="F68" s="8">
        <v>27</v>
      </c>
      <c r="G68" s="8">
        <v>28.7</v>
      </c>
      <c r="H68" s="8">
        <v>15.6</v>
      </c>
      <c r="I68" s="8">
        <v>107.6</v>
      </c>
      <c r="J68" s="8">
        <v>14.8</v>
      </c>
      <c r="K68" s="8">
        <v>92.8</v>
      </c>
      <c r="L68" s="9">
        <v>0.13751898586047659</v>
      </c>
    </row>
    <row r="69" spans="1:12" x14ac:dyDescent="0.3">
      <c r="A69" s="7">
        <v>46251</v>
      </c>
      <c r="B69" s="8" t="s">
        <v>43</v>
      </c>
      <c r="C69" s="8" t="s">
        <v>39</v>
      </c>
      <c r="D69" s="8">
        <v>52</v>
      </c>
      <c r="E69" s="8">
        <v>26.1</v>
      </c>
      <c r="F69" s="8">
        <v>18.2</v>
      </c>
      <c r="G69" s="8">
        <v>20.6</v>
      </c>
      <c r="H69" s="8">
        <v>43</v>
      </c>
      <c r="I69" s="8">
        <v>107.9</v>
      </c>
      <c r="J69" s="8">
        <v>12.7</v>
      </c>
      <c r="K69" s="8">
        <v>95.3</v>
      </c>
      <c r="L69" s="9">
        <v>0.1172843436524602</v>
      </c>
    </row>
    <row r="70" spans="1:12" x14ac:dyDescent="0.3">
      <c r="A70" s="7">
        <v>46251</v>
      </c>
      <c r="B70" s="8" t="s">
        <v>43</v>
      </c>
      <c r="C70" s="8" t="s">
        <v>40</v>
      </c>
      <c r="D70" s="8">
        <v>87</v>
      </c>
      <c r="E70" s="8">
        <v>35.799999999999997</v>
      </c>
      <c r="F70" s="8">
        <v>26.1</v>
      </c>
      <c r="G70" s="8">
        <v>25.8</v>
      </c>
      <c r="H70" s="8">
        <v>34.700000000000003</v>
      </c>
      <c r="I70" s="8">
        <v>122.3</v>
      </c>
      <c r="J70" s="8">
        <v>9.3000000000000007</v>
      </c>
      <c r="K70" s="8">
        <v>113</v>
      </c>
      <c r="L70" s="9">
        <v>7.576730587275099E-2</v>
      </c>
    </row>
    <row r="71" spans="1:12" x14ac:dyDescent="0.3">
      <c r="A71" s="7">
        <v>46251</v>
      </c>
      <c r="B71" s="8" t="s">
        <v>43</v>
      </c>
      <c r="C71" s="8" t="s">
        <v>41</v>
      </c>
      <c r="D71" s="8">
        <v>63</v>
      </c>
      <c r="E71" s="8">
        <v>24.7</v>
      </c>
      <c r="F71" s="8">
        <v>15.2</v>
      </c>
      <c r="G71" s="8">
        <v>15.3</v>
      </c>
      <c r="H71" s="8">
        <v>12</v>
      </c>
      <c r="I71" s="8">
        <v>67.2</v>
      </c>
      <c r="J71" s="8">
        <v>9.1999999999999993</v>
      </c>
      <c r="K71" s="8">
        <v>58</v>
      </c>
      <c r="L71" s="9">
        <v>0.13735277746106739</v>
      </c>
    </row>
    <row r="72" spans="1:12" x14ac:dyDescent="0.3">
      <c r="A72" s="7">
        <v>46252</v>
      </c>
      <c r="B72" s="8" t="s">
        <v>44</v>
      </c>
      <c r="C72" s="8" t="s">
        <v>38</v>
      </c>
      <c r="D72" s="8">
        <v>77</v>
      </c>
      <c r="E72" s="8">
        <v>41.7</v>
      </c>
      <c r="F72" s="8">
        <v>31.9</v>
      </c>
      <c r="G72" s="8">
        <v>33.5</v>
      </c>
      <c r="H72" s="8">
        <v>20.2</v>
      </c>
      <c r="I72" s="8">
        <v>127.2</v>
      </c>
      <c r="J72" s="8">
        <v>19.7</v>
      </c>
      <c r="K72" s="8">
        <v>107.5</v>
      </c>
      <c r="L72" s="9">
        <v>0.15465430377807929</v>
      </c>
    </row>
    <row r="73" spans="1:12" x14ac:dyDescent="0.3">
      <c r="A73" s="7">
        <v>46252</v>
      </c>
      <c r="B73" s="8" t="s">
        <v>44</v>
      </c>
      <c r="C73" s="8" t="s">
        <v>39</v>
      </c>
      <c r="D73" s="8">
        <v>62</v>
      </c>
      <c r="E73" s="8">
        <v>26.1</v>
      </c>
      <c r="F73" s="8">
        <v>18.600000000000001</v>
      </c>
      <c r="G73" s="8">
        <v>18.600000000000001</v>
      </c>
      <c r="H73" s="8">
        <v>44.6</v>
      </c>
      <c r="I73" s="8">
        <v>107.9</v>
      </c>
      <c r="J73" s="8">
        <v>15</v>
      </c>
      <c r="K73" s="8">
        <v>92.9</v>
      </c>
      <c r="L73" s="9">
        <v>0.13909640643996199</v>
      </c>
    </row>
    <row r="74" spans="1:12" x14ac:dyDescent="0.3">
      <c r="A74" s="7">
        <v>46252</v>
      </c>
      <c r="B74" s="8" t="s">
        <v>44</v>
      </c>
      <c r="C74" s="8" t="s">
        <v>40</v>
      </c>
      <c r="D74" s="8">
        <v>89</v>
      </c>
      <c r="E74" s="8">
        <v>36.4</v>
      </c>
      <c r="F74" s="8">
        <v>27.3</v>
      </c>
      <c r="G74" s="8">
        <v>28.3</v>
      </c>
      <c r="H74" s="8">
        <v>34</v>
      </c>
      <c r="I74" s="8">
        <v>126</v>
      </c>
      <c r="J74" s="8">
        <v>10.3</v>
      </c>
      <c r="K74" s="8">
        <v>115.7</v>
      </c>
      <c r="L74" s="9">
        <v>8.1490929057544154E-2</v>
      </c>
    </row>
    <row r="75" spans="1:12" x14ac:dyDescent="0.3">
      <c r="A75" s="7">
        <v>46252</v>
      </c>
      <c r="B75" s="8" t="s">
        <v>44</v>
      </c>
      <c r="C75" s="8" t="s">
        <v>41</v>
      </c>
      <c r="D75" s="8">
        <v>42</v>
      </c>
      <c r="E75" s="8">
        <v>21.5</v>
      </c>
      <c r="F75" s="8">
        <v>12.9</v>
      </c>
      <c r="G75" s="8">
        <v>14.1</v>
      </c>
      <c r="H75" s="8">
        <v>10</v>
      </c>
      <c r="I75" s="8">
        <v>58.6</v>
      </c>
      <c r="J75" s="8">
        <v>8.6999999999999993</v>
      </c>
      <c r="K75" s="8">
        <v>49.9</v>
      </c>
      <c r="L75" s="9">
        <v>0.1482613840107877</v>
      </c>
    </row>
    <row r="76" spans="1:12" x14ac:dyDescent="0.3">
      <c r="A76" s="7">
        <v>46253</v>
      </c>
      <c r="B76" s="8" t="s">
        <v>45</v>
      </c>
      <c r="C76" s="8" t="s">
        <v>38</v>
      </c>
      <c r="D76" s="8">
        <v>68</v>
      </c>
      <c r="E76" s="8">
        <v>40.6</v>
      </c>
      <c r="F76" s="8">
        <v>29.6</v>
      </c>
      <c r="G76" s="8">
        <v>32.200000000000003</v>
      </c>
      <c r="H76" s="8">
        <v>16.7</v>
      </c>
      <c r="I76" s="8">
        <v>119</v>
      </c>
      <c r="J76" s="8">
        <v>17.8</v>
      </c>
      <c r="K76" s="8">
        <v>101.2</v>
      </c>
      <c r="L76" s="9">
        <v>0.14965292462901669</v>
      </c>
    </row>
    <row r="77" spans="1:12" x14ac:dyDescent="0.3">
      <c r="A77" s="7">
        <v>46253</v>
      </c>
      <c r="B77" s="8" t="s">
        <v>45</v>
      </c>
      <c r="C77" s="8" t="s">
        <v>39</v>
      </c>
      <c r="D77" s="8">
        <v>60</v>
      </c>
      <c r="E77" s="8">
        <v>26</v>
      </c>
      <c r="F77" s="8">
        <v>17.7</v>
      </c>
      <c r="G77" s="8">
        <v>17.8</v>
      </c>
      <c r="H77" s="8">
        <v>45.1</v>
      </c>
      <c r="I77" s="8">
        <v>106.5</v>
      </c>
      <c r="J77" s="8">
        <v>11.9</v>
      </c>
      <c r="K77" s="8">
        <v>94.6</v>
      </c>
      <c r="L77" s="9">
        <v>0.11144630840890971</v>
      </c>
    </row>
    <row r="78" spans="1:12" x14ac:dyDescent="0.3">
      <c r="A78" s="7">
        <v>46253</v>
      </c>
      <c r="B78" s="8" t="s">
        <v>45</v>
      </c>
      <c r="C78" s="8" t="s">
        <v>40</v>
      </c>
      <c r="D78" s="8">
        <v>83</v>
      </c>
      <c r="E78" s="8">
        <v>33.799999999999997</v>
      </c>
      <c r="F78" s="8">
        <v>28</v>
      </c>
      <c r="G78" s="8">
        <v>25.9</v>
      </c>
      <c r="H78" s="8">
        <v>34</v>
      </c>
      <c r="I78" s="8">
        <v>121.8</v>
      </c>
      <c r="J78" s="8">
        <v>10.3</v>
      </c>
      <c r="K78" s="8">
        <v>111.6</v>
      </c>
      <c r="L78" s="9">
        <v>8.414789438287501E-2</v>
      </c>
    </row>
    <row r="79" spans="1:12" x14ac:dyDescent="0.3">
      <c r="A79" s="7">
        <v>46253</v>
      </c>
      <c r="B79" s="8" t="s">
        <v>45</v>
      </c>
      <c r="C79" s="8" t="s">
        <v>41</v>
      </c>
      <c r="D79" s="8">
        <v>50</v>
      </c>
      <c r="E79" s="8">
        <v>21</v>
      </c>
      <c r="F79" s="8">
        <v>13.9</v>
      </c>
      <c r="G79" s="8">
        <v>13.6</v>
      </c>
      <c r="H79" s="8">
        <v>11.1</v>
      </c>
      <c r="I79" s="8">
        <v>59.6</v>
      </c>
      <c r="J79" s="8">
        <v>8.4</v>
      </c>
      <c r="K79" s="8">
        <v>51.2</v>
      </c>
      <c r="L79" s="9">
        <v>0.14023678197571571</v>
      </c>
    </row>
    <row r="80" spans="1:12" x14ac:dyDescent="0.3">
      <c r="A80" s="7">
        <v>46254</v>
      </c>
      <c r="B80" s="8" t="s">
        <v>46</v>
      </c>
      <c r="C80" s="8" t="s">
        <v>38</v>
      </c>
      <c r="D80" s="8">
        <v>56</v>
      </c>
      <c r="E80" s="8">
        <v>38.4</v>
      </c>
      <c r="F80" s="8">
        <v>26.9</v>
      </c>
      <c r="G80" s="8">
        <v>26.3</v>
      </c>
      <c r="H80" s="8">
        <v>17.600000000000001</v>
      </c>
      <c r="I80" s="8">
        <v>109.3</v>
      </c>
      <c r="J80" s="8">
        <v>16.899999999999999</v>
      </c>
      <c r="K80" s="8">
        <v>92.4</v>
      </c>
      <c r="L80" s="9">
        <v>0.15469893203023599</v>
      </c>
    </row>
    <row r="81" spans="1:12" x14ac:dyDescent="0.3">
      <c r="A81" s="7">
        <v>46254</v>
      </c>
      <c r="B81" s="8" t="s">
        <v>46</v>
      </c>
      <c r="C81" s="8" t="s">
        <v>39</v>
      </c>
      <c r="D81" s="8">
        <v>55</v>
      </c>
      <c r="E81" s="8">
        <v>25</v>
      </c>
      <c r="F81" s="8">
        <v>18.8</v>
      </c>
      <c r="G81" s="8">
        <v>17.8</v>
      </c>
      <c r="H81" s="8">
        <v>45.1</v>
      </c>
      <c r="I81" s="8">
        <v>106.7</v>
      </c>
      <c r="J81" s="8">
        <v>14.1</v>
      </c>
      <c r="K81" s="8">
        <v>92.6</v>
      </c>
      <c r="L81" s="9">
        <v>0.13252703150929959</v>
      </c>
    </row>
    <row r="82" spans="1:12" x14ac:dyDescent="0.3">
      <c r="A82" s="7">
        <v>46254</v>
      </c>
      <c r="B82" s="8" t="s">
        <v>46</v>
      </c>
      <c r="C82" s="8" t="s">
        <v>40</v>
      </c>
      <c r="D82" s="8">
        <v>87</v>
      </c>
      <c r="E82" s="8">
        <v>37.5</v>
      </c>
      <c r="F82" s="8">
        <v>27.8</v>
      </c>
      <c r="G82" s="8">
        <v>29.3</v>
      </c>
      <c r="H82" s="8">
        <v>37.299999999999997</v>
      </c>
      <c r="I82" s="8">
        <v>131.9</v>
      </c>
      <c r="J82" s="8">
        <v>14.6</v>
      </c>
      <c r="K82" s="8">
        <v>117.3</v>
      </c>
      <c r="L82" s="9">
        <v>0.1110338635685776</v>
      </c>
    </row>
    <row r="83" spans="1:12" x14ac:dyDescent="0.3">
      <c r="A83" s="7">
        <v>46254</v>
      </c>
      <c r="B83" s="8" t="s">
        <v>46</v>
      </c>
      <c r="C83" s="8" t="s">
        <v>41</v>
      </c>
      <c r="D83" s="8">
        <v>55</v>
      </c>
      <c r="E83" s="8">
        <v>22.6</v>
      </c>
      <c r="F83" s="8">
        <v>14.8</v>
      </c>
      <c r="G83" s="8">
        <v>12.9</v>
      </c>
      <c r="H83" s="8">
        <v>10.6</v>
      </c>
      <c r="I83" s="8">
        <v>60.9</v>
      </c>
      <c r="J83" s="8">
        <v>9.5</v>
      </c>
      <c r="K83" s="8">
        <v>51.3</v>
      </c>
      <c r="L83" s="9">
        <v>0.1567644771616947</v>
      </c>
    </row>
    <row r="84" spans="1:12" x14ac:dyDescent="0.3">
      <c r="A84" s="7">
        <v>46255</v>
      </c>
      <c r="B84" s="8" t="s">
        <v>47</v>
      </c>
      <c r="C84" s="8" t="s">
        <v>38</v>
      </c>
      <c r="D84" s="8">
        <v>72</v>
      </c>
      <c r="E84" s="8">
        <v>41.7</v>
      </c>
      <c r="F84" s="8">
        <v>31.9</v>
      </c>
      <c r="G84" s="8">
        <v>31.7</v>
      </c>
      <c r="H84" s="8">
        <v>16.399999999999999</v>
      </c>
      <c r="I84" s="8">
        <v>121.7</v>
      </c>
      <c r="J84" s="8">
        <v>19.600000000000001</v>
      </c>
      <c r="K84" s="8">
        <v>102.1</v>
      </c>
      <c r="L84" s="9">
        <v>0.16118786422642589</v>
      </c>
    </row>
    <row r="85" spans="1:12" x14ac:dyDescent="0.3">
      <c r="A85" s="7">
        <v>46255</v>
      </c>
      <c r="B85" s="8" t="s">
        <v>47</v>
      </c>
      <c r="C85" s="8" t="s">
        <v>39</v>
      </c>
      <c r="D85" s="8">
        <v>62</v>
      </c>
      <c r="E85" s="8">
        <v>28.5</v>
      </c>
      <c r="F85" s="8">
        <v>17.899999999999999</v>
      </c>
      <c r="G85" s="8">
        <v>19.899999999999999</v>
      </c>
      <c r="H85" s="8">
        <v>47</v>
      </c>
      <c r="I85" s="8">
        <v>113.4</v>
      </c>
      <c r="J85" s="8">
        <v>15.3</v>
      </c>
      <c r="K85" s="8">
        <v>98.1</v>
      </c>
      <c r="L85" s="9">
        <v>0.13489835936309011</v>
      </c>
    </row>
    <row r="86" spans="1:12" x14ac:dyDescent="0.3">
      <c r="A86" s="7">
        <v>46255</v>
      </c>
      <c r="B86" s="8" t="s">
        <v>47</v>
      </c>
      <c r="C86" s="8" t="s">
        <v>40</v>
      </c>
      <c r="D86" s="8">
        <v>88</v>
      </c>
      <c r="E86" s="8">
        <v>37.4</v>
      </c>
      <c r="F86" s="8">
        <v>26.8</v>
      </c>
      <c r="G86" s="8">
        <v>28.4</v>
      </c>
      <c r="H86" s="8">
        <v>33.700000000000003</v>
      </c>
      <c r="I86" s="8">
        <v>126.3</v>
      </c>
      <c r="J86" s="8">
        <v>10.3</v>
      </c>
      <c r="K86" s="8">
        <v>116</v>
      </c>
      <c r="L86" s="9">
        <v>8.1654659896016085E-2</v>
      </c>
    </row>
    <row r="87" spans="1:12" x14ac:dyDescent="0.3">
      <c r="A87" s="7">
        <v>46255</v>
      </c>
      <c r="B87" s="8" t="s">
        <v>47</v>
      </c>
      <c r="C87" s="8" t="s">
        <v>41</v>
      </c>
      <c r="D87" s="8">
        <v>51</v>
      </c>
      <c r="E87" s="8">
        <v>20.7</v>
      </c>
      <c r="F87" s="8">
        <v>13.9</v>
      </c>
      <c r="G87" s="8">
        <v>16.600000000000001</v>
      </c>
      <c r="H87" s="8">
        <v>10.4</v>
      </c>
      <c r="I87" s="8">
        <v>61.5</v>
      </c>
      <c r="J87" s="8">
        <v>7.1</v>
      </c>
      <c r="K87" s="8">
        <v>54.4</v>
      </c>
      <c r="L87" s="9">
        <v>0.1159420337625692</v>
      </c>
    </row>
    <row r="88" spans="1:12" x14ac:dyDescent="0.3">
      <c r="A88" s="7">
        <v>46256</v>
      </c>
      <c r="B88" s="8" t="s">
        <v>37</v>
      </c>
      <c r="C88" s="8" t="s">
        <v>38</v>
      </c>
      <c r="D88" s="8">
        <v>55</v>
      </c>
      <c r="E88" s="8">
        <v>32.5</v>
      </c>
      <c r="F88" s="8">
        <v>23.5</v>
      </c>
      <c r="G88" s="8">
        <v>29.1</v>
      </c>
      <c r="H88" s="8">
        <v>17.8</v>
      </c>
      <c r="I88" s="8">
        <v>102.8</v>
      </c>
      <c r="J88" s="8">
        <v>17.7</v>
      </c>
      <c r="K88" s="8">
        <v>85.1</v>
      </c>
      <c r="L88" s="9">
        <v>0.1724132685111853</v>
      </c>
    </row>
    <row r="89" spans="1:12" x14ac:dyDescent="0.3">
      <c r="A89" s="7">
        <v>46256</v>
      </c>
      <c r="B89" s="8" t="s">
        <v>37</v>
      </c>
      <c r="C89" s="8" t="s">
        <v>39</v>
      </c>
      <c r="D89" s="8">
        <v>44</v>
      </c>
      <c r="E89" s="8">
        <v>19.8</v>
      </c>
      <c r="F89" s="8">
        <v>15.5</v>
      </c>
      <c r="G89" s="8">
        <v>19.5</v>
      </c>
      <c r="H89" s="8">
        <v>42.2</v>
      </c>
      <c r="I89" s="8">
        <v>97</v>
      </c>
      <c r="J89" s="8">
        <v>11.5</v>
      </c>
      <c r="K89" s="8">
        <v>85.5</v>
      </c>
      <c r="L89" s="9">
        <v>0.1186929212705022</v>
      </c>
    </row>
    <row r="90" spans="1:12" x14ac:dyDescent="0.3">
      <c r="A90" s="7">
        <v>46256</v>
      </c>
      <c r="B90" s="8" t="s">
        <v>37</v>
      </c>
      <c r="C90" s="8" t="s">
        <v>40</v>
      </c>
      <c r="D90" s="8">
        <v>50</v>
      </c>
      <c r="E90" s="8">
        <v>24.9</v>
      </c>
      <c r="F90" s="8">
        <v>20.5</v>
      </c>
      <c r="G90" s="8">
        <v>24</v>
      </c>
      <c r="H90" s="8">
        <v>28.6</v>
      </c>
      <c r="I90" s="8">
        <v>97.9</v>
      </c>
      <c r="J90" s="8">
        <v>10.5</v>
      </c>
      <c r="K90" s="8">
        <v>87.4</v>
      </c>
      <c r="L90" s="9">
        <v>0.1074966140001026</v>
      </c>
    </row>
    <row r="91" spans="1:12" x14ac:dyDescent="0.3">
      <c r="A91" s="7">
        <v>46256</v>
      </c>
      <c r="B91" s="8" t="s">
        <v>37</v>
      </c>
      <c r="C91" s="8" t="s">
        <v>41</v>
      </c>
      <c r="D91" s="8">
        <v>36</v>
      </c>
      <c r="E91" s="8">
        <v>16.399999999999999</v>
      </c>
      <c r="F91" s="8">
        <v>11.3</v>
      </c>
      <c r="G91" s="8">
        <v>12.9</v>
      </c>
      <c r="H91" s="8">
        <v>12.3</v>
      </c>
      <c r="I91" s="8">
        <v>52.9</v>
      </c>
      <c r="J91" s="8">
        <v>8.1</v>
      </c>
      <c r="K91" s="8">
        <v>44.7</v>
      </c>
      <c r="L91" s="9">
        <v>0.15334850529087621</v>
      </c>
    </row>
    <row r="92" spans="1:12" x14ac:dyDescent="0.3">
      <c r="A92" s="7">
        <v>46257</v>
      </c>
      <c r="B92" s="8" t="s">
        <v>42</v>
      </c>
      <c r="C92" s="8" t="s">
        <v>38</v>
      </c>
      <c r="D92" s="8">
        <v>57</v>
      </c>
      <c r="E92" s="8">
        <v>31.7</v>
      </c>
      <c r="F92" s="8">
        <v>25.6</v>
      </c>
      <c r="G92" s="8">
        <v>29.2</v>
      </c>
      <c r="H92" s="8">
        <v>15.5</v>
      </c>
      <c r="I92" s="8">
        <v>102.1</v>
      </c>
      <c r="J92" s="8">
        <v>17.100000000000001</v>
      </c>
      <c r="K92" s="8">
        <v>85</v>
      </c>
      <c r="L92" s="9">
        <v>0.1675767180857127</v>
      </c>
    </row>
    <row r="93" spans="1:12" x14ac:dyDescent="0.3">
      <c r="A93" s="7">
        <v>46257</v>
      </c>
      <c r="B93" s="8" t="s">
        <v>42</v>
      </c>
      <c r="C93" s="8" t="s">
        <v>39</v>
      </c>
      <c r="D93" s="8">
        <v>50</v>
      </c>
      <c r="E93" s="8">
        <v>22.5</v>
      </c>
      <c r="F93" s="8">
        <v>14.7</v>
      </c>
      <c r="G93" s="8">
        <v>17.2</v>
      </c>
      <c r="H93" s="8">
        <v>39.700000000000003</v>
      </c>
      <c r="I93" s="8">
        <v>94.1</v>
      </c>
      <c r="J93" s="8">
        <v>10.199999999999999</v>
      </c>
      <c r="K93" s="8">
        <v>83.9</v>
      </c>
      <c r="L93" s="9">
        <v>0.1084386382894624</v>
      </c>
    </row>
    <row r="94" spans="1:12" x14ac:dyDescent="0.3">
      <c r="A94" s="7">
        <v>46257</v>
      </c>
      <c r="B94" s="8" t="s">
        <v>42</v>
      </c>
      <c r="C94" s="8" t="s">
        <v>40</v>
      </c>
      <c r="D94" s="8">
        <v>69</v>
      </c>
      <c r="E94" s="8">
        <v>27.9</v>
      </c>
      <c r="F94" s="8">
        <v>22.3</v>
      </c>
      <c r="G94" s="8">
        <v>22.9</v>
      </c>
      <c r="H94" s="8">
        <v>33.1</v>
      </c>
      <c r="I94" s="8">
        <v>106.2</v>
      </c>
      <c r="J94" s="8">
        <v>9.5</v>
      </c>
      <c r="K94" s="8">
        <v>96.7</v>
      </c>
      <c r="L94" s="9">
        <v>8.9277177104600841E-2</v>
      </c>
    </row>
    <row r="95" spans="1:12" x14ac:dyDescent="0.3">
      <c r="A95" s="7">
        <v>46257</v>
      </c>
      <c r="B95" s="8" t="s">
        <v>42</v>
      </c>
      <c r="C95" s="8" t="s">
        <v>41</v>
      </c>
      <c r="D95" s="8">
        <v>36</v>
      </c>
      <c r="E95" s="8">
        <v>15.4</v>
      </c>
      <c r="F95" s="8">
        <v>12.5</v>
      </c>
      <c r="G95" s="8">
        <v>12.8</v>
      </c>
      <c r="H95" s="8">
        <v>9.8000000000000007</v>
      </c>
      <c r="I95" s="8">
        <v>50.5</v>
      </c>
      <c r="J95" s="8">
        <v>8.3000000000000007</v>
      </c>
      <c r="K95" s="8">
        <v>42.2</v>
      </c>
      <c r="L95" s="9">
        <v>0.16390628683785141</v>
      </c>
    </row>
    <row r="96" spans="1:12" x14ac:dyDescent="0.3">
      <c r="A96" s="7">
        <v>46258</v>
      </c>
      <c r="B96" s="8" t="s">
        <v>43</v>
      </c>
      <c r="C96" s="8" t="s">
        <v>38</v>
      </c>
      <c r="D96" s="8">
        <v>71</v>
      </c>
      <c r="E96" s="8">
        <v>40.4</v>
      </c>
      <c r="F96" s="8">
        <v>31.7</v>
      </c>
      <c r="G96" s="8">
        <v>28.5</v>
      </c>
      <c r="H96" s="8">
        <v>20.5</v>
      </c>
      <c r="I96" s="8">
        <v>121.1</v>
      </c>
      <c r="J96" s="8">
        <v>19.100000000000001</v>
      </c>
      <c r="K96" s="8">
        <v>102</v>
      </c>
      <c r="L96" s="9">
        <v>0.15747254848255479</v>
      </c>
    </row>
    <row r="97" spans="1:12" x14ac:dyDescent="0.3">
      <c r="A97" s="7">
        <v>46258</v>
      </c>
      <c r="B97" s="8" t="s">
        <v>43</v>
      </c>
      <c r="C97" s="8" t="s">
        <v>39</v>
      </c>
      <c r="D97" s="8">
        <v>54</v>
      </c>
      <c r="E97" s="8">
        <v>27.6</v>
      </c>
      <c r="F97" s="8">
        <v>19.7</v>
      </c>
      <c r="G97" s="8">
        <v>18.100000000000001</v>
      </c>
      <c r="H97" s="8">
        <v>42.6</v>
      </c>
      <c r="I97" s="8">
        <v>108</v>
      </c>
      <c r="J97" s="8">
        <v>10.8</v>
      </c>
      <c r="K97" s="8">
        <v>97.3</v>
      </c>
      <c r="L97" s="9">
        <v>9.9515154712550583E-2</v>
      </c>
    </row>
    <row r="98" spans="1:12" x14ac:dyDescent="0.3">
      <c r="A98" s="7">
        <v>46258</v>
      </c>
      <c r="B98" s="8" t="s">
        <v>43</v>
      </c>
      <c r="C98" s="8" t="s">
        <v>40</v>
      </c>
      <c r="D98" s="8">
        <v>89</v>
      </c>
      <c r="E98" s="8">
        <v>38.6</v>
      </c>
      <c r="F98" s="8">
        <v>26.7</v>
      </c>
      <c r="G98" s="8">
        <v>27.8</v>
      </c>
      <c r="H98" s="8">
        <v>37.799999999999997</v>
      </c>
      <c r="I98" s="8">
        <v>130.80000000000001</v>
      </c>
      <c r="J98" s="8">
        <v>13.1</v>
      </c>
      <c r="K98" s="8">
        <v>117.7</v>
      </c>
      <c r="L98" s="9">
        <v>0.100437217682439</v>
      </c>
    </row>
    <row r="99" spans="1:12" x14ac:dyDescent="0.3">
      <c r="A99" s="7">
        <v>46258</v>
      </c>
      <c r="B99" s="8" t="s">
        <v>43</v>
      </c>
      <c r="C99" s="8" t="s">
        <v>41</v>
      </c>
      <c r="D99" s="8">
        <v>43</v>
      </c>
      <c r="E99" s="8">
        <v>19.100000000000001</v>
      </c>
      <c r="F99" s="8">
        <v>14.4</v>
      </c>
      <c r="G99" s="8">
        <v>14.6</v>
      </c>
      <c r="H99" s="8">
        <v>12.2</v>
      </c>
      <c r="I99" s="8">
        <v>60.3</v>
      </c>
      <c r="J99" s="8">
        <v>7</v>
      </c>
      <c r="K99" s="8">
        <v>53.3</v>
      </c>
      <c r="L99" s="9">
        <v>0.1162417201545333</v>
      </c>
    </row>
    <row r="100" spans="1:12" x14ac:dyDescent="0.3">
      <c r="A100" s="7">
        <v>46259</v>
      </c>
      <c r="B100" s="8" t="s">
        <v>44</v>
      </c>
      <c r="C100" s="8" t="s">
        <v>38</v>
      </c>
      <c r="D100" s="8">
        <v>56</v>
      </c>
      <c r="E100" s="8">
        <v>37.9</v>
      </c>
      <c r="F100" s="8">
        <v>27.7</v>
      </c>
      <c r="G100" s="8">
        <v>30.6</v>
      </c>
      <c r="H100" s="8">
        <v>18.3</v>
      </c>
      <c r="I100" s="8">
        <v>114.5</v>
      </c>
      <c r="J100" s="8">
        <v>17.8</v>
      </c>
      <c r="K100" s="8">
        <v>96.7</v>
      </c>
      <c r="L100" s="9">
        <v>0.15580905971823639</v>
      </c>
    </row>
    <row r="101" spans="1:12" x14ac:dyDescent="0.3">
      <c r="A101" s="7">
        <v>46259</v>
      </c>
      <c r="B101" s="8" t="s">
        <v>44</v>
      </c>
      <c r="C101" s="8" t="s">
        <v>39</v>
      </c>
      <c r="D101" s="8">
        <v>58</v>
      </c>
      <c r="E101" s="8">
        <v>27.9</v>
      </c>
      <c r="F101" s="8">
        <v>17.399999999999999</v>
      </c>
      <c r="G101" s="8">
        <v>18.2</v>
      </c>
      <c r="H101" s="8">
        <v>46.7</v>
      </c>
      <c r="I101" s="8">
        <v>110.2</v>
      </c>
      <c r="J101" s="8">
        <v>15.1</v>
      </c>
      <c r="K101" s="8">
        <v>95.1</v>
      </c>
      <c r="L101" s="9">
        <v>0.13695553973252311</v>
      </c>
    </row>
    <row r="102" spans="1:12" x14ac:dyDescent="0.3">
      <c r="A102" s="7">
        <v>46259</v>
      </c>
      <c r="B102" s="8" t="s">
        <v>44</v>
      </c>
      <c r="C102" s="8" t="s">
        <v>40</v>
      </c>
      <c r="D102" s="8">
        <v>69</v>
      </c>
      <c r="E102" s="8">
        <v>31.8</v>
      </c>
      <c r="F102" s="8">
        <v>23.3</v>
      </c>
      <c r="G102" s="8">
        <v>27.1</v>
      </c>
      <c r="H102" s="8">
        <v>35</v>
      </c>
      <c r="I102" s="8">
        <v>117.2</v>
      </c>
      <c r="J102" s="8">
        <v>10.3</v>
      </c>
      <c r="K102" s="8">
        <v>106.9</v>
      </c>
      <c r="L102" s="9">
        <v>8.7660610814475265E-2</v>
      </c>
    </row>
    <row r="103" spans="1:12" x14ac:dyDescent="0.3">
      <c r="A103" s="7">
        <v>46259</v>
      </c>
      <c r="B103" s="8" t="s">
        <v>44</v>
      </c>
      <c r="C103" s="8" t="s">
        <v>41</v>
      </c>
      <c r="D103" s="8">
        <v>42</v>
      </c>
      <c r="E103" s="8">
        <v>22</v>
      </c>
      <c r="F103" s="8">
        <v>13.4</v>
      </c>
      <c r="G103" s="8">
        <v>12.9</v>
      </c>
      <c r="H103" s="8">
        <v>11.5</v>
      </c>
      <c r="I103" s="8">
        <v>59.9</v>
      </c>
      <c r="J103" s="8">
        <v>8.1999999999999993</v>
      </c>
      <c r="K103" s="8">
        <v>51.7</v>
      </c>
      <c r="L103" s="9">
        <v>0.13640263756947829</v>
      </c>
    </row>
    <row r="104" spans="1:12" x14ac:dyDescent="0.3">
      <c r="A104" s="7">
        <v>46260</v>
      </c>
      <c r="B104" s="8" t="s">
        <v>45</v>
      </c>
      <c r="C104" s="8" t="s">
        <v>38</v>
      </c>
      <c r="D104" s="8">
        <v>64</v>
      </c>
      <c r="E104" s="8">
        <v>38.1</v>
      </c>
      <c r="F104" s="8">
        <v>28.1</v>
      </c>
      <c r="G104" s="8">
        <v>31.5</v>
      </c>
      <c r="H104" s="8">
        <v>18.5</v>
      </c>
      <c r="I104" s="8">
        <v>116.2</v>
      </c>
      <c r="J104" s="8">
        <v>19.399999999999999</v>
      </c>
      <c r="K104" s="8">
        <v>96.8</v>
      </c>
      <c r="L104" s="9">
        <v>0.16674817485198001</v>
      </c>
    </row>
    <row r="105" spans="1:12" x14ac:dyDescent="0.3">
      <c r="A105" s="7">
        <v>46260</v>
      </c>
      <c r="B105" s="8" t="s">
        <v>45</v>
      </c>
      <c r="C105" s="8" t="s">
        <v>39</v>
      </c>
      <c r="D105" s="8">
        <v>50</v>
      </c>
      <c r="E105" s="8">
        <v>24.3</v>
      </c>
      <c r="F105" s="8">
        <v>17.899999999999999</v>
      </c>
      <c r="G105" s="8">
        <v>17</v>
      </c>
      <c r="H105" s="8">
        <v>42.5</v>
      </c>
      <c r="I105" s="8">
        <v>101.8</v>
      </c>
      <c r="J105" s="8">
        <v>11.6</v>
      </c>
      <c r="K105" s="8">
        <v>90.2</v>
      </c>
      <c r="L105" s="9">
        <v>0.1136674642507518</v>
      </c>
    </row>
    <row r="106" spans="1:12" x14ac:dyDescent="0.3">
      <c r="A106" s="7">
        <v>46260</v>
      </c>
      <c r="B106" s="8" t="s">
        <v>45</v>
      </c>
      <c r="C106" s="8" t="s">
        <v>40</v>
      </c>
      <c r="D106" s="8">
        <v>79</v>
      </c>
      <c r="E106" s="8">
        <v>36.200000000000003</v>
      </c>
      <c r="F106" s="8">
        <v>26.7</v>
      </c>
      <c r="G106" s="8">
        <v>28.2</v>
      </c>
      <c r="H106" s="8">
        <v>37</v>
      </c>
      <c r="I106" s="8">
        <v>128.1</v>
      </c>
      <c r="J106" s="8">
        <v>15.6</v>
      </c>
      <c r="K106" s="8">
        <v>112.4</v>
      </c>
      <c r="L106" s="9">
        <v>0.1220349649169121</v>
      </c>
    </row>
    <row r="107" spans="1:12" x14ac:dyDescent="0.3">
      <c r="A107" s="7">
        <v>46260</v>
      </c>
      <c r="B107" s="8" t="s">
        <v>45</v>
      </c>
      <c r="C107" s="8" t="s">
        <v>41</v>
      </c>
      <c r="D107" s="8">
        <v>57</v>
      </c>
      <c r="E107" s="8">
        <v>20.3</v>
      </c>
      <c r="F107" s="8">
        <v>15.9</v>
      </c>
      <c r="G107" s="8">
        <v>13.3</v>
      </c>
      <c r="H107" s="8">
        <v>12.5</v>
      </c>
      <c r="I107" s="8">
        <v>62</v>
      </c>
      <c r="J107" s="8">
        <v>9</v>
      </c>
      <c r="K107" s="8">
        <v>53</v>
      </c>
      <c r="L107" s="9">
        <v>0.14574570363486861</v>
      </c>
    </row>
    <row r="108" spans="1:12" x14ac:dyDescent="0.3">
      <c r="A108" s="7">
        <v>46261</v>
      </c>
      <c r="B108" s="8" t="s">
        <v>46</v>
      </c>
      <c r="C108" s="8" t="s">
        <v>38</v>
      </c>
      <c r="D108" s="8">
        <v>60</v>
      </c>
      <c r="E108" s="8">
        <v>37.200000000000003</v>
      </c>
      <c r="F108" s="8">
        <v>27.4</v>
      </c>
      <c r="G108" s="8">
        <v>29.7</v>
      </c>
      <c r="H108" s="8">
        <v>19.600000000000001</v>
      </c>
      <c r="I108" s="8">
        <v>113.9</v>
      </c>
      <c r="J108" s="8">
        <v>16.100000000000001</v>
      </c>
      <c r="K108" s="8">
        <v>97.8</v>
      </c>
      <c r="L108" s="9">
        <v>0.14136556601925299</v>
      </c>
    </row>
    <row r="109" spans="1:12" x14ac:dyDescent="0.3">
      <c r="A109" s="7">
        <v>46261</v>
      </c>
      <c r="B109" s="8" t="s">
        <v>46</v>
      </c>
      <c r="C109" s="8" t="s">
        <v>39</v>
      </c>
      <c r="D109" s="8">
        <v>61</v>
      </c>
      <c r="E109" s="8">
        <v>26.2</v>
      </c>
      <c r="F109" s="8">
        <v>18.5</v>
      </c>
      <c r="G109" s="8">
        <v>19</v>
      </c>
      <c r="H109" s="8">
        <v>47.1</v>
      </c>
      <c r="I109" s="8">
        <v>110.9</v>
      </c>
      <c r="J109" s="8">
        <v>14.2</v>
      </c>
      <c r="K109" s="8">
        <v>96.7</v>
      </c>
      <c r="L109" s="9">
        <v>0.12764089124656061</v>
      </c>
    </row>
    <row r="110" spans="1:12" x14ac:dyDescent="0.3">
      <c r="A110" s="7">
        <v>46261</v>
      </c>
      <c r="B110" s="8" t="s">
        <v>46</v>
      </c>
      <c r="C110" s="8" t="s">
        <v>40</v>
      </c>
      <c r="D110" s="8">
        <v>78</v>
      </c>
      <c r="E110" s="8">
        <v>33.9</v>
      </c>
      <c r="F110" s="8">
        <v>26.3</v>
      </c>
      <c r="G110" s="8">
        <v>26.9</v>
      </c>
      <c r="H110" s="8">
        <v>34.299999999999997</v>
      </c>
      <c r="I110" s="8">
        <v>121.5</v>
      </c>
      <c r="J110" s="8">
        <v>10.1</v>
      </c>
      <c r="K110" s="8">
        <v>111.3</v>
      </c>
      <c r="L110" s="9">
        <v>8.3366623387934657E-2</v>
      </c>
    </row>
    <row r="111" spans="1:12" x14ac:dyDescent="0.3">
      <c r="A111" s="7">
        <v>46261</v>
      </c>
      <c r="B111" s="8" t="s">
        <v>46</v>
      </c>
      <c r="C111" s="8" t="s">
        <v>41</v>
      </c>
      <c r="D111" s="8">
        <v>45</v>
      </c>
      <c r="E111" s="8">
        <v>20.399999999999999</v>
      </c>
      <c r="F111" s="8">
        <v>14.4</v>
      </c>
      <c r="G111" s="8">
        <v>11.6</v>
      </c>
      <c r="H111" s="8">
        <v>12.6</v>
      </c>
      <c r="I111" s="8">
        <v>59</v>
      </c>
      <c r="J111" s="8">
        <v>8.1</v>
      </c>
      <c r="K111" s="8">
        <v>50.9</v>
      </c>
      <c r="L111" s="9">
        <v>0.1376493037887884</v>
      </c>
    </row>
    <row r="112" spans="1:12" x14ac:dyDescent="0.3">
      <c r="A112" s="7">
        <v>46262</v>
      </c>
      <c r="B112" s="8" t="s">
        <v>47</v>
      </c>
      <c r="C112" s="8" t="s">
        <v>38</v>
      </c>
      <c r="D112" s="8">
        <v>66</v>
      </c>
      <c r="E112" s="8">
        <v>39.200000000000003</v>
      </c>
      <c r="F112" s="8">
        <v>28.8</v>
      </c>
      <c r="G112" s="8">
        <v>32.5</v>
      </c>
      <c r="H112" s="8">
        <v>16.3</v>
      </c>
      <c r="I112" s="8">
        <v>116.8</v>
      </c>
      <c r="J112" s="8">
        <v>16.3</v>
      </c>
      <c r="K112" s="8">
        <v>100.5</v>
      </c>
      <c r="L112" s="9">
        <v>0.13953572540532619</v>
      </c>
    </row>
    <row r="113" spans="1:12" x14ac:dyDescent="0.3">
      <c r="A113" s="7">
        <v>46262</v>
      </c>
      <c r="B113" s="8" t="s">
        <v>47</v>
      </c>
      <c r="C113" s="8" t="s">
        <v>39</v>
      </c>
      <c r="D113" s="8">
        <v>56</v>
      </c>
      <c r="E113" s="8">
        <v>25.5</v>
      </c>
      <c r="F113" s="8">
        <v>18.3</v>
      </c>
      <c r="G113" s="8">
        <v>19.2</v>
      </c>
      <c r="H113" s="8">
        <v>46.7</v>
      </c>
      <c r="I113" s="8">
        <v>109.6</v>
      </c>
      <c r="J113" s="8">
        <v>11.5</v>
      </c>
      <c r="K113" s="8">
        <v>98.1</v>
      </c>
      <c r="L113" s="9">
        <v>0.1051070921448065</v>
      </c>
    </row>
    <row r="114" spans="1:12" x14ac:dyDescent="0.3">
      <c r="A114" s="7">
        <v>46262</v>
      </c>
      <c r="B114" s="8" t="s">
        <v>47</v>
      </c>
      <c r="C114" s="8" t="s">
        <v>40</v>
      </c>
      <c r="D114" s="8">
        <v>66</v>
      </c>
      <c r="E114" s="8">
        <v>32.1</v>
      </c>
      <c r="F114" s="8">
        <v>24.1</v>
      </c>
      <c r="G114" s="8">
        <v>25.7</v>
      </c>
      <c r="H114" s="8">
        <v>33.5</v>
      </c>
      <c r="I114" s="8">
        <v>115.5</v>
      </c>
      <c r="J114" s="8">
        <v>10.8</v>
      </c>
      <c r="K114" s="8">
        <v>104.6</v>
      </c>
      <c r="L114" s="9">
        <v>9.3843290682971425E-2</v>
      </c>
    </row>
    <row r="115" spans="1:12" x14ac:dyDescent="0.3">
      <c r="A115" s="7">
        <v>46262</v>
      </c>
      <c r="B115" s="8" t="s">
        <v>47</v>
      </c>
      <c r="C115" s="8" t="s">
        <v>41</v>
      </c>
      <c r="D115" s="8">
        <v>50</v>
      </c>
      <c r="E115" s="8">
        <v>21.1</v>
      </c>
      <c r="F115" s="8">
        <v>14.2</v>
      </c>
      <c r="G115" s="8">
        <v>15.4</v>
      </c>
      <c r="H115" s="8">
        <v>11.9</v>
      </c>
      <c r="I115" s="8">
        <v>62.5</v>
      </c>
      <c r="J115" s="8">
        <v>9.3000000000000007</v>
      </c>
      <c r="K115" s="8">
        <v>53.2</v>
      </c>
      <c r="L115" s="9">
        <v>0.14933765899516491</v>
      </c>
    </row>
    <row r="116" spans="1:12" x14ac:dyDescent="0.3">
      <c r="A116" s="7">
        <v>46263</v>
      </c>
      <c r="B116" s="8" t="s">
        <v>37</v>
      </c>
      <c r="C116" s="8" t="s">
        <v>38</v>
      </c>
      <c r="D116" s="8">
        <v>54</v>
      </c>
      <c r="E116" s="8">
        <v>33.799999999999997</v>
      </c>
      <c r="F116" s="8">
        <v>24</v>
      </c>
      <c r="G116" s="8">
        <v>28.7</v>
      </c>
      <c r="H116" s="8">
        <v>15.1</v>
      </c>
      <c r="I116" s="8">
        <v>101.5</v>
      </c>
      <c r="J116" s="8">
        <v>15</v>
      </c>
      <c r="K116" s="8">
        <v>86.5</v>
      </c>
      <c r="L116" s="9">
        <v>0.1474226824881735</v>
      </c>
    </row>
    <row r="117" spans="1:12" x14ac:dyDescent="0.3">
      <c r="A117" s="7">
        <v>46263</v>
      </c>
      <c r="B117" s="8" t="s">
        <v>37</v>
      </c>
      <c r="C117" s="8" t="s">
        <v>39</v>
      </c>
      <c r="D117" s="8">
        <v>40</v>
      </c>
      <c r="E117" s="8">
        <v>20.6</v>
      </c>
      <c r="F117" s="8">
        <v>14.4</v>
      </c>
      <c r="G117" s="8">
        <v>17.8</v>
      </c>
      <c r="H117" s="8">
        <v>41.9</v>
      </c>
      <c r="I117" s="8">
        <v>94.7</v>
      </c>
      <c r="J117" s="8">
        <v>13.6</v>
      </c>
      <c r="K117" s="8">
        <v>81.099999999999994</v>
      </c>
      <c r="L117" s="9">
        <v>0.14340201922573539</v>
      </c>
    </row>
    <row r="118" spans="1:12" x14ac:dyDescent="0.3">
      <c r="A118" s="7">
        <v>46263</v>
      </c>
      <c r="B118" s="8" t="s">
        <v>37</v>
      </c>
      <c r="C118" s="8" t="s">
        <v>40</v>
      </c>
      <c r="D118" s="8">
        <v>52</v>
      </c>
      <c r="E118" s="8">
        <v>27.1</v>
      </c>
      <c r="F118" s="8">
        <v>21.2</v>
      </c>
      <c r="G118" s="8">
        <v>20.2</v>
      </c>
      <c r="H118" s="8">
        <v>30</v>
      </c>
      <c r="I118" s="8">
        <v>98.5</v>
      </c>
      <c r="J118" s="8">
        <v>10.3</v>
      </c>
      <c r="K118" s="8">
        <v>88.2</v>
      </c>
      <c r="L118" s="9">
        <v>0.10435882452496301</v>
      </c>
    </row>
    <row r="119" spans="1:12" x14ac:dyDescent="0.3">
      <c r="A119" s="7">
        <v>46263</v>
      </c>
      <c r="B119" s="8" t="s">
        <v>37</v>
      </c>
      <c r="C119" s="8" t="s">
        <v>41</v>
      </c>
      <c r="D119" s="8">
        <v>22</v>
      </c>
      <c r="E119" s="8">
        <v>17</v>
      </c>
      <c r="F119" s="8">
        <v>11.4</v>
      </c>
      <c r="G119" s="8">
        <v>9.6</v>
      </c>
      <c r="H119" s="8">
        <v>10.8</v>
      </c>
      <c r="I119" s="8">
        <v>48.8</v>
      </c>
      <c r="J119" s="8">
        <v>6.8</v>
      </c>
      <c r="K119" s="8">
        <v>42</v>
      </c>
      <c r="L119" s="9">
        <v>0.1384075710074012</v>
      </c>
    </row>
    <row r="120" spans="1:12" x14ac:dyDescent="0.3">
      <c r="A120" s="7">
        <v>46264</v>
      </c>
      <c r="B120" s="8" t="s">
        <v>42</v>
      </c>
      <c r="C120" s="8" t="s">
        <v>38</v>
      </c>
      <c r="D120" s="8">
        <v>52</v>
      </c>
      <c r="E120" s="8">
        <v>30.4</v>
      </c>
      <c r="F120" s="8">
        <v>23.5</v>
      </c>
      <c r="G120" s="8">
        <v>26.4</v>
      </c>
      <c r="H120" s="8">
        <v>16.2</v>
      </c>
      <c r="I120" s="8">
        <v>96.4</v>
      </c>
      <c r="J120" s="8">
        <v>16.3</v>
      </c>
      <c r="K120" s="8">
        <v>80.099999999999994</v>
      </c>
      <c r="L120" s="9">
        <v>0.1691037530857662</v>
      </c>
    </row>
    <row r="121" spans="1:12" x14ac:dyDescent="0.3">
      <c r="A121" s="7">
        <v>46264</v>
      </c>
      <c r="B121" s="8" t="s">
        <v>42</v>
      </c>
      <c r="C121" s="8" t="s">
        <v>39</v>
      </c>
      <c r="D121" s="8">
        <v>51</v>
      </c>
      <c r="E121" s="8">
        <v>23.8</v>
      </c>
      <c r="F121" s="8">
        <v>17.399999999999999</v>
      </c>
      <c r="G121" s="8">
        <v>19.3</v>
      </c>
      <c r="H121" s="8">
        <v>40</v>
      </c>
      <c r="I121" s="8">
        <v>100.5</v>
      </c>
      <c r="J121" s="8">
        <v>13.5</v>
      </c>
      <c r="K121" s="8">
        <v>87.1</v>
      </c>
      <c r="L121" s="9">
        <v>0.13384308078868171</v>
      </c>
    </row>
    <row r="122" spans="1:12" x14ac:dyDescent="0.3">
      <c r="A122" s="7">
        <v>46264</v>
      </c>
      <c r="B122" s="8" t="s">
        <v>42</v>
      </c>
      <c r="C122" s="8" t="s">
        <v>40</v>
      </c>
      <c r="D122" s="8">
        <v>48</v>
      </c>
      <c r="E122" s="8">
        <v>24.6</v>
      </c>
      <c r="F122" s="8">
        <v>20.7</v>
      </c>
      <c r="G122" s="8">
        <v>23.4</v>
      </c>
      <c r="H122" s="8">
        <v>30.4</v>
      </c>
      <c r="I122" s="8">
        <v>99.1</v>
      </c>
      <c r="J122" s="8">
        <v>8.9</v>
      </c>
      <c r="K122" s="8">
        <v>90.1</v>
      </c>
      <c r="L122" s="9">
        <v>9.0189113081408631E-2</v>
      </c>
    </row>
    <row r="123" spans="1:12" x14ac:dyDescent="0.3">
      <c r="A123" s="7">
        <v>46264</v>
      </c>
      <c r="B123" s="8" t="s">
        <v>42</v>
      </c>
      <c r="C123" s="8" t="s">
        <v>41</v>
      </c>
      <c r="D123" s="8">
        <v>26</v>
      </c>
      <c r="E123" s="8">
        <v>15.8</v>
      </c>
      <c r="F123" s="8">
        <v>10.3</v>
      </c>
      <c r="G123" s="8">
        <v>12.7</v>
      </c>
      <c r="H123" s="8">
        <v>12.2</v>
      </c>
      <c r="I123" s="8">
        <v>51</v>
      </c>
      <c r="J123" s="8">
        <v>6.1</v>
      </c>
      <c r="K123" s="8">
        <v>44.9</v>
      </c>
      <c r="L123" s="9">
        <v>0.11997223923740979</v>
      </c>
    </row>
  </sheetData>
  <autoFilter ref="A3:L123" xr:uid="{00000000-0009-0000-0000-000001000000}"/>
  <mergeCells count="1">
    <mergeCell ref="A1:L1"/>
  </mergeCells>
  <conditionalFormatting sqref="L4:L123">
    <cfRule type="colorScale" priority="1">
      <colorScale>
        <cfvo type="min"/>
        <cfvo type="percentile" val="50"/>
        <cfvo type="max"/>
        <color rgb="FFF4CCCC"/>
        <color rgb="FFFFD966"/>
        <color rgb="FFE2F0D9"/>
      </colorScale>
    </cfRule>
  </conditionalFormatting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1"/>
  <sheetViews>
    <sheetView showGridLines="0" workbookViewId="0">
      <pane ySplit="6" topLeftCell="A17" activePane="bottomLeft" state="frozen"/>
      <selection pane="bottomLeft" sqref="A1:F1"/>
    </sheetView>
  </sheetViews>
  <sheetFormatPr defaultRowHeight="14.4" x14ac:dyDescent="0.3"/>
  <cols>
    <col min="1" max="1" width="22.109375" customWidth="1"/>
    <col min="2" max="3" width="16" customWidth="1"/>
    <col min="4" max="4" width="18" customWidth="1"/>
    <col min="5" max="5" width="14.88671875" customWidth="1"/>
    <col min="6" max="6" width="48" customWidth="1"/>
  </cols>
  <sheetData>
    <row r="1" spans="1:8" ht="33.9" customHeight="1" x14ac:dyDescent="0.5">
      <c r="A1" s="17" t="s">
        <v>48</v>
      </c>
      <c r="B1" s="15"/>
      <c r="C1" s="15"/>
      <c r="D1" s="15"/>
      <c r="E1" s="15"/>
      <c r="F1" s="15"/>
    </row>
    <row r="3" spans="1:8" x14ac:dyDescent="0.3">
      <c r="A3" s="23" t="s">
        <v>33</v>
      </c>
      <c r="B3" s="15"/>
      <c r="C3" s="18" t="s">
        <v>35</v>
      </c>
      <c r="D3" s="15"/>
      <c r="E3" s="24" t="s">
        <v>49</v>
      </c>
      <c r="F3" s="15"/>
      <c r="G3" s="25" t="s">
        <v>50</v>
      </c>
      <c r="H3" s="15"/>
    </row>
    <row r="4" spans="1:8" ht="21" x14ac:dyDescent="0.4">
      <c r="A4" s="26">
        <f>SUM('Sample Data'!I4:I123)</f>
        <v>11642.5</v>
      </c>
      <c r="B4" s="15"/>
      <c r="C4" s="26">
        <f>SUM('Sample Data'!K4:K123)</f>
        <v>10180.100000000002</v>
      </c>
      <c r="D4" s="15"/>
      <c r="E4" s="26">
        <f>SUM('Sample Data'!J4:J123)</f>
        <v>1462.0999999999983</v>
      </c>
      <c r="F4" s="15"/>
      <c r="G4" s="27">
        <f>SUM('Sample Data'!J4:J123)/SUM('Sample Data'!I4:I123)</f>
        <v>0.12558299334335393</v>
      </c>
      <c r="H4" s="15"/>
    </row>
    <row r="7" spans="1:8" x14ac:dyDescent="0.3">
      <c r="A7" s="1" t="s">
        <v>27</v>
      </c>
      <c r="B7" s="1" t="s">
        <v>51</v>
      </c>
      <c r="C7" s="1" t="s">
        <v>52</v>
      </c>
      <c r="D7" s="1" t="s">
        <v>53</v>
      </c>
      <c r="E7" s="1" t="s">
        <v>36</v>
      </c>
      <c r="F7" s="1" t="s">
        <v>54</v>
      </c>
    </row>
    <row r="8" spans="1:8" x14ac:dyDescent="0.3">
      <c r="A8" s="6" t="s">
        <v>38</v>
      </c>
      <c r="B8" s="6">
        <f>SUMIF('Sample Data'!C:C,A8,'Sample Data'!I:I)</f>
        <v>3320</v>
      </c>
      <c r="C8" s="6">
        <f>SUMIF('Sample Data'!C:C,A8,'Sample Data'!K:K)</f>
        <v>2803.8</v>
      </c>
      <c r="D8" s="6">
        <f>B8-C8</f>
        <v>516.19999999999982</v>
      </c>
      <c r="E8" s="10">
        <f>D8/B8</f>
        <v>0.15548192771084332</v>
      </c>
      <c r="F8" s="6" t="str">
        <f>IF(E8&gt;=0.14,"Strong saving opportunity","Moderate saving opportunity")</f>
        <v>Strong saving opportunity</v>
      </c>
    </row>
    <row r="9" spans="1:8" x14ac:dyDescent="0.3">
      <c r="A9" s="6" t="s">
        <v>39</v>
      </c>
      <c r="B9" s="6">
        <f>SUMIF('Sample Data'!C:C,A9,'Sample Data'!I:I)</f>
        <v>3113.7999999999997</v>
      </c>
      <c r="C9" s="6">
        <f>SUMIF('Sample Data'!C:C,A9,'Sample Data'!K:K)</f>
        <v>2748.6999999999994</v>
      </c>
      <c r="D9" s="6">
        <f>B9-C9</f>
        <v>365.10000000000036</v>
      </c>
      <c r="E9" s="10">
        <f>D9/B9</f>
        <v>0.11725223199948628</v>
      </c>
      <c r="F9" s="6" t="str">
        <f>IF(E9&gt;=0.14,"Strong saving opportunity","Moderate saving opportunity")</f>
        <v>Moderate saving opportunity</v>
      </c>
    </row>
    <row r="10" spans="1:8" x14ac:dyDescent="0.3">
      <c r="A10" s="6" t="s">
        <v>40</v>
      </c>
      <c r="B10" s="6">
        <f>SUMIF('Sample Data'!C:C,A10,'Sample Data'!I:I)</f>
        <v>3454.6000000000004</v>
      </c>
      <c r="C10" s="6">
        <f>SUMIF('Sample Data'!C:C,A10,'Sample Data'!K:K)</f>
        <v>3118.8999999999996</v>
      </c>
      <c r="D10" s="6">
        <f>B10-C10</f>
        <v>335.70000000000073</v>
      </c>
      <c r="E10" s="10">
        <f>D10/B10</f>
        <v>9.7174781450819397E-2</v>
      </c>
      <c r="F10" s="6" t="str">
        <f>IF(E10&gt;=0.14,"Strong saving opportunity","Moderate saving opportunity")</f>
        <v>Moderate saving opportunity</v>
      </c>
    </row>
    <row r="11" spans="1:8" x14ac:dyDescent="0.3">
      <c r="A11" s="6" t="s">
        <v>41</v>
      </c>
      <c r="B11" s="6">
        <f>SUMIF('Sample Data'!C:C,A11,'Sample Data'!I:I)</f>
        <v>1754.1000000000001</v>
      </c>
      <c r="C11" s="6">
        <f>SUMIF('Sample Data'!C:C,A11,'Sample Data'!K:K)</f>
        <v>1508.7000000000003</v>
      </c>
      <c r="D11" s="6">
        <f>B11-C11</f>
        <v>245.39999999999986</v>
      </c>
      <c r="E11" s="10">
        <f>D11/B11</f>
        <v>0.13990080383102438</v>
      </c>
      <c r="F11" s="6" t="str">
        <f>IF(E11&gt;=0.14,"Strong saving opportunity","Moderate saving opportunity")</f>
        <v>Moderate saving opportunity</v>
      </c>
    </row>
    <row r="14" spans="1:8" x14ac:dyDescent="0.3">
      <c r="A14" s="3" t="s">
        <v>55</v>
      </c>
      <c r="B14" s="3" t="s">
        <v>56</v>
      </c>
      <c r="C14" s="3" t="s">
        <v>57</v>
      </c>
      <c r="D14" s="3" t="s">
        <v>58</v>
      </c>
    </row>
    <row r="15" spans="1:8" ht="28.8" x14ac:dyDescent="0.3">
      <c r="A15" s="4" t="s">
        <v>59</v>
      </c>
      <c r="B15" s="4">
        <f>SUM('Sample Data'!E4:E123)</f>
        <v>3385.9000000000005</v>
      </c>
      <c r="C15" s="11">
        <f>B15/SUM('Sample Data'!I4:I123)</f>
        <v>0.29082241786557872</v>
      </c>
      <c r="D15" s="4" t="s">
        <v>60</v>
      </c>
    </row>
    <row r="16" spans="1:8" ht="28.8" x14ac:dyDescent="0.3">
      <c r="A16" s="4" t="s">
        <v>61</v>
      </c>
      <c r="B16" s="4">
        <f>SUM('Sample Data'!F4:F123)</f>
        <v>2469.3000000000015</v>
      </c>
      <c r="C16" s="11">
        <f>B16/SUM('Sample Data'!I4:I123)</f>
        <v>0.21209362250375791</v>
      </c>
      <c r="D16" s="4" t="s">
        <v>62</v>
      </c>
    </row>
    <row r="17" spans="1:5" ht="28.8" x14ac:dyDescent="0.3">
      <c r="A17" s="4" t="s">
        <v>63</v>
      </c>
      <c r="B17" s="4">
        <f>SUM('Sample Data'!G4:G123)</f>
        <v>2610.4999999999991</v>
      </c>
      <c r="C17" s="11">
        <f>B17/SUM('Sample Data'!I4:I123)</f>
        <v>0.22422160188962845</v>
      </c>
      <c r="D17" s="4" t="s">
        <v>64</v>
      </c>
    </row>
    <row r="18" spans="1:5" ht="43.2" x14ac:dyDescent="0.3">
      <c r="A18" s="4" t="s">
        <v>65</v>
      </c>
      <c r="B18" s="4">
        <f>SUM('Sample Data'!H4:H123)</f>
        <v>3176.7999999999997</v>
      </c>
      <c r="C18" s="11">
        <f>B18/SUM('Sample Data'!I4:I123)</f>
        <v>0.27286235774103496</v>
      </c>
      <c r="D18" s="4" t="s">
        <v>66</v>
      </c>
    </row>
    <row r="21" spans="1:5" x14ac:dyDescent="0.3">
      <c r="A21" s="2" t="s">
        <v>25</v>
      </c>
      <c r="B21" s="2" t="s">
        <v>51</v>
      </c>
      <c r="C21" s="2" t="s">
        <v>52</v>
      </c>
      <c r="D21" s="2" t="s">
        <v>53</v>
      </c>
      <c r="E21" s="2" t="s">
        <v>36</v>
      </c>
    </row>
    <row r="22" spans="1:5" x14ac:dyDescent="0.3">
      <c r="A22" s="12">
        <v>46235</v>
      </c>
      <c r="B22" s="6">
        <f>SUMIF('Sample Data'!A:A,A22,'Sample Data'!I:I)</f>
        <v>349.7</v>
      </c>
      <c r="C22" s="6">
        <f>SUMIF('Sample Data'!A:A,A22,'Sample Data'!K:K)</f>
        <v>309.20000000000005</v>
      </c>
      <c r="D22" s="6">
        <f t="shared" ref="D22:D51" si="0">B22-C22</f>
        <v>40.499999999999943</v>
      </c>
      <c r="E22" s="10">
        <f t="shared" ref="E22:E51" si="1">D22/B22</f>
        <v>0.11581355447526435</v>
      </c>
    </row>
    <row r="23" spans="1:5" x14ac:dyDescent="0.3">
      <c r="A23" s="12">
        <v>46236</v>
      </c>
      <c r="B23" s="6">
        <f>SUMIF('Sample Data'!A:A,A23,'Sample Data'!I:I)</f>
        <v>331.1</v>
      </c>
      <c r="C23" s="6">
        <f>SUMIF('Sample Data'!A:A,A23,'Sample Data'!K:K)</f>
        <v>286.7</v>
      </c>
      <c r="D23" s="6">
        <f t="shared" si="0"/>
        <v>44.400000000000034</v>
      </c>
      <c r="E23" s="10">
        <f t="shared" si="1"/>
        <v>0.13409845967985512</v>
      </c>
    </row>
    <row r="24" spans="1:5" x14ac:dyDescent="0.3">
      <c r="A24" s="12">
        <v>46237</v>
      </c>
      <c r="B24" s="6">
        <f>SUMIF('Sample Data'!A:A,A24,'Sample Data'!I:I)</f>
        <v>396.5</v>
      </c>
      <c r="C24" s="6">
        <f>SUMIF('Sample Data'!A:A,A24,'Sample Data'!K:K)</f>
        <v>343.8</v>
      </c>
      <c r="D24" s="6">
        <f t="shared" si="0"/>
        <v>52.699999999999989</v>
      </c>
      <c r="E24" s="10">
        <f t="shared" si="1"/>
        <v>0.13291298865069354</v>
      </c>
    </row>
    <row r="25" spans="1:5" x14ac:dyDescent="0.3">
      <c r="A25" s="12">
        <v>46238</v>
      </c>
      <c r="B25" s="6">
        <f>SUMIF('Sample Data'!A:A,A25,'Sample Data'!I:I)</f>
        <v>417.6</v>
      </c>
      <c r="C25" s="6">
        <f>SUMIF('Sample Data'!A:A,A25,'Sample Data'!K:K)</f>
        <v>367.40000000000003</v>
      </c>
      <c r="D25" s="6">
        <f t="shared" si="0"/>
        <v>50.199999999999989</v>
      </c>
      <c r="E25" s="10">
        <f t="shared" si="1"/>
        <v>0.12021072796934862</v>
      </c>
    </row>
    <row r="26" spans="1:5" x14ac:dyDescent="0.3">
      <c r="A26" s="12">
        <v>46239</v>
      </c>
      <c r="B26" s="6">
        <f>SUMIF('Sample Data'!A:A,A26,'Sample Data'!I:I)</f>
        <v>412.1</v>
      </c>
      <c r="C26" s="6">
        <f>SUMIF('Sample Data'!A:A,A26,'Sample Data'!K:K)</f>
        <v>361.7</v>
      </c>
      <c r="D26" s="6">
        <f t="shared" si="0"/>
        <v>50.400000000000034</v>
      </c>
      <c r="E26" s="10">
        <f t="shared" si="1"/>
        <v>0.12230041252123279</v>
      </c>
    </row>
    <row r="27" spans="1:5" x14ac:dyDescent="0.3">
      <c r="A27" s="12">
        <v>46240</v>
      </c>
      <c r="B27" s="6">
        <f>SUMIF('Sample Data'!A:A,A27,'Sample Data'!I:I)</f>
        <v>407.2</v>
      </c>
      <c r="C27" s="6">
        <f>SUMIF('Sample Data'!A:A,A27,'Sample Data'!K:K)</f>
        <v>351.59999999999997</v>
      </c>
      <c r="D27" s="6">
        <f t="shared" si="0"/>
        <v>55.600000000000023</v>
      </c>
      <c r="E27" s="10">
        <f t="shared" si="1"/>
        <v>0.13654223968565821</v>
      </c>
    </row>
    <row r="28" spans="1:5" x14ac:dyDescent="0.3">
      <c r="A28" s="12">
        <v>46241</v>
      </c>
      <c r="B28" s="6">
        <f>SUMIF('Sample Data'!A:A,A28,'Sample Data'!I:I)</f>
        <v>390.9</v>
      </c>
      <c r="C28" s="6">
        <f>SUMIF('Sample Data'!A:A,A28,'Sample Data'!K:K)</f>
        <v>343.1</v>
      </c>
      <c r="D28" s="6">
        <f t="shared" si="0"/>
        <v>47.799999999999955</v>
      </c>
      <c r="E28" s="10">
        <f t="shared" si="1"/>
        <v>0.12228191353287275</v>
      </c>
    </row>
    <row r="29" spans="1:5" x14ac:dyDescent="0.3">
      <c r="A29" s="12">
        <v>46242</v>
      </c>
      <c r="B29" s="6">
        <f>SUMIF('Sample Data'!A:A,A29,'Sample Data'!I:I)</f>
        <v>366.09999999999997</v>
      </c>
      <c r="C29" s="6">
        <f>SUMIF('Sample Data'!A:A,A29,'Sample Data'!K:K)</f>
        <v>319.59999999999997</v>
      </c>
      <c r="D29" s="6">
        <f t="shared" si="0"/>
        <v>46.5</v>
      </c>
      <c r="E29" s="10">
        <f t="shared" si="1"/>
        <v>0.12701447691887463</v>
      </c>
    </row>
    <row r="30" spans="1:5" x14ac:dyDescent="0.3">
      <c r="A30" s="12">
        <v>46243</v>
      </c>
      <c r="B30" s="6">
        <f>SUMIF('Sample Data'!A:A,A30,'Sample Data'!I:I)</f>
        <v>348.9</v>
      </c>
      <c r="C30" s="6">
        <f>SUMIF('Sample Data'!A:A,A30,'Sample Data'!K:K)</f>
        <v>309.2</v>
      </c>
      <c r="D30" s="6">
        <f t="shared" si="0"/>
        <v>39.699999999999989</v>
      </c>
      <c r="E30" s="10">
        <f t="shared" si="1"/>
        <v>0.11378618515333903</v>
      </c>
    </row>
    <row r="31" spans="1:5" x14ac:dyDescent="0.3">
      <c r="A31" s="12">
        <v>46244</v>
      </c>
      <c r="B31" s="6">
        <f>SUMIF('Sample Data'!A:A,A31,'Sample Data'!I:I)</f>
        <v>427.9</v>
      </c>
      <c r="C31" s="6">
        <f>SUMIF('Sample Data'!A:A,A31,'Sample Data'!K:K)</f>
        <v>376</v>
      </c>
      <c r="D31" s="6">
        <f t="shared" si="0"/>
        <v>51.899999999999977</v>
      </c>
      <c r="E31" s="10">
        <f t="shared" si="1"/>
        <v>0.12129002103295158</v>
      </c>
    </row>
    <row r="32" spans="1:5" x14ac:dyDescent="0.3">
      <c r="A32" s="12">
        <v>46245</v>
      </c>
      <c r="B32" s="6">
        <f>SUMIF('Sample Data'!A:A,A32,'Sample Data'!I:I)</f>
        <v>408.9</v>
      </c>
      <c r="C32" s="6">
        <f>SUMIF('Sample Data'!A:A,A32,'Sample Data'!K:K)</f>
        <v>357.2</v>
      </c>
      <c r="D32" s="6">
        <f t="shared" si="0"/>
        <v>51.699999999999989</v>
      </c>
      <c r="E32" s="10">
        <f t="shared" si="1"/>
        <v>0.12643678160919539</v>
      </c>
    </row>
    <row r="33" spans="1:5" x14ac:dyDescent="0.3">
      <c r="A33" s="12">
        <v>46246</v>
      </c>
      <c r="B33" s="6">
        <f>SUMIF('Sample Data'!A:A,A33,'Sample Data'!I:I)</f>
        <v>388.2</v>
      </c>
      <c r="C33" s="6">
        <f>SUMIF('Sample Data'!A:A,A33,'Sample Data'!K:K)</f>
        <v>344.50000000000006</v>
      </c>
      <c r="D33" s="6">
        <f t="shared" si="0"/>
        <v>43.699999999999932</v>
      </c>
      <c r="E33" s="10">
        <f t="shared" si="1"/>
        <v>0.11257083977331256</v>
      </c>
    </row>
    <row r="34" spans="1:5" x14ac:dyDescent="0.3">
      <c r="A34" s="12">
        <v>46247</v>
      </c>
      <c r="B34" s="6">
        <f>SUMIF('Sample Data'!A:A,A34,'Sample Data'!I:I)</f>
        <v>406.1</v>
      </c>
      <c r="C34" s="6">
        <f>SUMIF('Sample Data'!A:A,A34,'Sample Data'!K:K)</f>
        <v>354.90000000000003</v>
      </c>
      <c r="D34" s="6">
        <f t="shared" si="0"/>
        <v>51.199999999999989</v>
      </c>
      <c r="E34" s="10">
        <f t="shared" si="1"/>
        <v>0.12607732085693177</v>
      </c>
    </row>
    <row r="35" spans="1:5" x14ac:dyDescent="0.3">
      <c r="A35" s="12">
        <v>46248</v>
      </c>
      <c r="B35" s="6">
        <f>SUMIF('Sample Data'!A:A,A35,'Sample Data'!I:I)</f>
        <v>419.5</v>
      </c>
      <c r="C35" s="6">
        <f>SUMIF('Sample Data'!A:A,A35,'Sample Data'!K:K)</f>
        <v>363</v>
      </c>
      <c r="D35" s="6">
        <f t="shared" si="0"/>
        <v>56.5</v>
      </c>
      <c r="E35" s="10">
        <f t="shared" si="1"/>
        <v>0.13468414779499405</v>
      </c>
    </row>
    <row r="36" spans="1:5" x14ac:dyDescent="0.3">
      <c r="A36" s="12">
        <v>46249</v>
      </c>
      <c r="B36" s="6">
        <f>SUMIF('Sample Data'!A:A,A36,'Sample Data'!I:I)</f>
        <v>336.4</v>
      </c>
      <c r="C36" s="6">
        <f>SUMIF('Sample Data'!A:A,A36,'Sample Data'!K:K)</f>
        <v>290.89999999999998</v>
      </c>
      <c r="D36" s="6">
        <f t="shared" si="0"/>
        <v>45.5</v>
      </c>
      <c r="E36" s="10">
        <f t="shared" si="1"/>
        <v>0.13525564803804996</v>
      </c>
    </row>
    <row r="37" spans="1:5" x14ac:dyDescent="0.3">
      <c r="A37" s="12">
        <v>46250</v>
      </c>
      <c r="B37" s="6">
        <f>SUMIF('Sample Data'!A:A,A37,'Sample Data'!I:I)</f>
        <v>338.29999999999995</v>
      </c>
      <c r="C37" s="6">
        <f>SUMIF('Sample Data'!A:A,A37,'Sample Data'!K:K)</f>
        <v>296.7</v>
      </c>
      <c r="D37" s="6">
        <f t="shared" si="0"/>
        <v>41.599999999999966</v>
      </c>
      <c r="E37" s="10">
        <f t="shared" si="1"/>
        <v>0.12296778007685479</v>
      </c>
    </row>
    <row r="38" spans="1:5" x14ac:dyDescent="0.3">
      <c r="A38" s="12">
        <v>46251</v>
      </c>
      <c r="B38" s="6">
        <f>SUMIF('Sample Data'!A:A,A38,'Sample Data'!I:I)</f>
        <v>405</v>
      </c>
      <c r="C38" s="6">
        <f>SUMIF('Sample Data'!A:A,A38,'Sample Data'!K:K)</f>
        <v>359.1</v>
      </c>
      <c r="D38" s="6">
        <f t="shared" si="0"/>
        <v>45.899999999999977</v>
      </c>
      <c r="E38" s="10">
        <f t="shared" si="1"/>
        <v>0.11333333333333327</v>
      </c>
    </row>
    <row r="39" spans="1:5" x14ac:dyDescent="0.3">
      <c r="A39" s="12">
        <v>46252</v>
      </c>
      <c r="B39" s="6">
        <f>SUMIF('Sample Data'!A:A,A39,'Sample Data'!I:I)</f>
        <v>419.70000000000005</v>
      </c>
      <c r="C39" s="6">
        <f>SUMIF('Sample Data'!A:A,A39,'Sample Data'!K:K)</f>
        <v>366</v>
      </c>
      <c r="D39" s="6">
        <f t="shared" si="0"/>
        <v>53.700000000000045</v>
      </c>
      <c r="E39" s="10">
        <f t="shared" si="1"/>
        <v>0.12794853466761982</v>
      </c>
    </row>
    <row r="40" spans="1:5" x14ac:dyDescent="0.3">
      <c r="A40" s="12">
        <v>46253</v>
      </c>
      <c r="B40" s="6">
        <f>SUMIF('Sample Data'!A:A,A40,'Sample Data'!I:I)</f>
        <v>406.90000000000003</v>
      </c>
      <c r="C40" s="6">
        <f>SUMIF('Sample Data'!A:A,A40,'Sample Data'!K:K)</f>
        <v>358.59999999999997</v>
      </c>
      <c r="D40" s="6">
        <f t="shared" si="0"/>
        <v>48.300000000000068</v>
      </c>
      <c r="E40" s="10">
        <f t="shared" si="1"/>
        <v>0.11870238387810289</v>
      </c>
    </row>
    <row r="41" spans="1:5" x14ac:dyDescent="0.3">
      <c r="A41" s="12">
        <v>46254</v>
      </c>
      <c r="B41" s="6">
        <f>SUMIF('Sample Data'!A:A,A41,'Sample Data'!I:I)</f>
        <v>408.79999999999995</v>
      </c>
      <c r="C41" s="6">
        <f>SUMIF('Sample Data'!A:A,A41,'Sample Data'!K:K)</f>
        <v>353.6</v>
      </c>
      <c r="D41" s="6">
        <f t="shared" si="0"/>
        <v>55.199999999999932</v>
      </c>
      <c r="E41" s="10">
        <f t="shared" si="1"/>
        <v>0.13502935420743625</v>
      </c>
    </row>
    <row r="42" spans="1:5" x14ac:dyDescent="0.3">
      <c r="A42" s="12">
        <v>46255</v>
      </c>
      <c r="B42" s="6">
        <f>SUMIF('Sample Data'!A:A,A42,'Sample Data'!I:I)</f>
        <v>422.90000000000003</v>
      </c>
      <c r="C42" s="6">
        <f>SUMIF('Sample Data'!A:A,A42,'Sample Data'!K:K)</f>
        <v>370.59999999999997</v>
      </c>
      <c r="D42" s="6">
        <f t="shared" si="0"/>
        <v>52.300000000000068</v>
      </c>
      <c r="E42" s="10">
        <f t="shared" si="1"/>
        <v>0.12366989832111626</v>
      </c>
    </row>
    <row r="43" spans="1:5" x14ac:dyDescent="0.3">
      <c r="A43" s="12">
        <v>46256</v>
      </c>
      <c r="B43" s="6">
        <f>SUMIF('Sample Data'!A:A,A43,'Sample Data'!I:I)</f>
        <v>350.6</v>
      </c>
      <c r="C43" s="6">
        <f>SUMIF('Sample Data'!A:A,A43,'Sample Data'!K:K)</f>
        <v>302.7</v>
      </c>
      <c r="D43" s="6">
        <f t="shared" si="0"/>
        <v>47.900000000000034</v>
      </c>
      <c r="E43" s="10">
        <f t="shared" si="1"/>
        <v>0.13662293211637203</v>
      </c>
    </row>
    <row r="44" spans="1:5" x14ac:dyDescent="0.3">
      <c r="A44" s="12">
        <v>46257</v>
      </c>
      <c r="B44" s="6">
        <f>SUMIF('Sample Data'!A:A,A44,'Sample Data'!I:I)</f>
        <v>352.9</v>
      </c>
      <c r="C44" s="6">
        <f>SUMIF('Sample Data'!A:A,A44,'Sample Data'!K:K)</f>
        <v>307.8</v>
      </c>
      <c r="D44" s="6">
        <f t="shared" si="0"/>
        <v>45.099999999999966</v>
      </c>
      <c r="E44" s="10">
        <f t="shared" si="1"/>
        <v>0.12779824312836488</v>
      </c>
    </row>
    <row r="45" spans="1:5" x14ac:dyDescent="0.3">
      <c r="A45" s="12">
        <v>46258</v>
      </c>
      <c r="B45" s="6">
        <f>SUMIF('Sample Data'!A:A,A45,'Sample Data'!I:I)</f>
        <v>420.2</v>
      </c>
      <c r="C45" s="6">
        <f>SUMIF('Sample Data'!A:A,A45,'Sample Data'!K:K)</f>
        <v>370.3</v>
      </c>
      <c r="D45" s="6">
        <f t="shared" si="0"/>
        <v>49.899999999999977</v>
      </c>
      <c r="E45" s="10">
        <f t="shared" si="1"/>
        <v>0.11875297477391714</v>
      </c>
    </row>
    <row r="46" spans="1:5" x14ac:dyDescent="0.3">
      <c r="A46" s="12">
        <v>46259</v>
      </c>
      <c r="B46" s="6">
        <f>SUMIF('Sample Data'!A:A,A46,'Sample Data'!I:I)</f>
        <v>401.79999999999995</v>
      </c>
      <c r="C46" s="6">
        <f>SUMIF('Sample Data'!A:A,A46,'Sample Data'!K:K)</f>
        <v>350.40000000000003</v>
      </c>
      <c r="D46" s="6">
        <f t="shared" si="0"/>
        <v>51.39999999999992</v>
      </c>
      <c r="E46" s="10">
        <f t="shared" si="1"/>
        <v>0.1279243404678943</v>
      </c>
    </row>
    <row r="47" spans="1:5" x14ac:dyDescent="0.3">
      <c r="A47" s="12">
        <v>46260</v>
      </c>
      <c r="B47" s="6">
        <f>SUMIF('Sample Data'!A:A,A47,'Sample Data'!I:I)</f>
        <v>408.1</v>
      </c>
      <c r="C47" s="6">
        <f>SUMIF('Sample Data'!A:A,A47,'Sample Data'!K:K)</f>
        <v>352.4</v>
      </c>
      <c r="D47" s="6">
        <f t="shared" si="0"/>
        <v>55.700000000000045</v>
      </c>
      <c r="E47" s="10">
        <f t="shared" si="1"/>
        <v>0.13648615535407999</v>
      </c>
    </row>
    <row r="48" spans="1:5" x14ac:dyDescent="0.3">
      <c r="A48" s="12">
        <v>46261</v>
      </c>
      <c r="B48" s="6">
        <f>SUMIF('Sample Data'!A:A,A48,'Sample Data'!I:I)</f>
        <v>405.3</v>
      </c>
      <c r="C48" s="6">
        <f>SUMIF('Sample Data'!A:A,A48,'Sample Data'!K:K)</f>
        <v>356.7</v>
      </c>
      <c r="D48" s="6">
        <f t="shared" si="0"/>
        <v>48.600000000000023</v>
      </c>
      <c r="E48" s="10">
        <f t="shared" si="1"/>
        <v>0.11991117690599561</v>
      </c>
    </row>
    <row r="49" spans="1:5" x14ac:dyDescent="0.3">
      <c r="A49" s="12">
        <v>46262</v>
      </c>
      <c r="B49" s="6">
        <f>SUMIF('Sample Data'!A:A,A49,'Sample Data'!I:I)</f>
        <v>404.4</v>
      </c>
      <c r="C49" s="6">
        <f>SUMIF('Sample Data'!A:A,A49,'Sample Data'!K:K)</f>
        <v>356.4</v>
      </c>
      <c r="D49" s="6">
        <f t="shared" si="0"/>
        <v>48</v>
      </c>
      <c r="E49" s="10">
        <f t="shared" si="1"/>
        <v>0.11869436201780416</v>
      </c>
    </row>
    <row r="50" spans="1:5" x14ac:dyDescent="0.3">
      <c r="A50" s="12">
        <v>46263</v>
      </c>
      <c r="B50" s="6">
        <f>SUMIF('Sample Data'!A:A,A50,'Sample Data'!I:I)</f>
        <v>343.5</v>
      </c>
      <c r="C50" s="6">
        <f>SUMIF('Sample Data'!A:A,A50,'Sample Data'!K:K)</f>
        <v>297.8</v>
      </c>
      <c r="D50" s="6">
        <f t="shared" si="0"/>
        <v>45.699999999999989</v>
      </c>
      <c r="E50" s="10">
        <f t="shared" si="1"/>
        <v>0.13304221251819501</v>
      </c>
    </row>
    <row r="51" spans="1:5" x14ac:dyDescent="0.3">
      <c r="A51" s="12">
        <v>46264</v>
      </c>
      <c r="B51" s="6">
        <f>SUMIF('Sample Data'!A:A,A51,'Sample Data'!I:I)</f>
        <v>347</v>
      </c>
      <c r="C51" s="6">
        <f>SUMIF('Sample Data'!A:A,A51,'Sample Data'!K:K)</f>
        <v>302.19999999999993</v>
      </c>
      <c r="D51" s="6">
        <f t="shared" si="0"/>
        <v>44.800000000000068</v>
      </c>
      <c r="E51" s="10">
        <f t="shared" si="1"/>
        <v>0.12910662824207511</v>
      </c>
    </row>
  </sheetData>
  <mergeCells count="9">
    <mergeCell ref="A4:B4"/>
    <mergeCell ref="G4:H4"/>
    <mergeCell ref="E4:F4"/>
    <mergeCell ref="A1:F1"/>
    <mergeCell ref="C3:D3"/>
    <mergeCell ref="A3:B3"/>
    <mergeCell ref="G3:H3"/>
    <mergeCell ref="E3:F3"/>
    <mergeCell ref="C4:D4"/>
  </mergeCells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"/>
  <sheetViews>
    <sheetView showGridLines="0" workbookViewId="0">
      <selection activeCell="O25" sqref="O25"/>
    </sheetView>
  </sheetViews>
  <sheetFormatPr defaultRowHeight="14.4" x14ac:dyDescent="0.3"/>
  <sheetData>
    <row r="1" spans="1:12" ht="33.9" customHeight="1" x14ac:dyDescent="0.5">
      <c r="A1" s="17" t="s">
        <v>67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</sheetData>
  <mergeCells count="1">
    <mergeCell ref="A1:L1"/>
  </mergeCells>
  <pageMargins left="0.75" right="0.75" top="1" bottom="1" header="0.5" footer="0.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2"/>
  <sheetViews>
    <sheetView showGridLines="0" topLeftCell="A7" workbookViewId="0">
      <selection sqref="A1:J1"/>
    </sheetView>
  </sheetViews>
  <sheetFormatPr defaultRowHeight="14.4" x14ac:dyDescent="0.3"/>
  <cols>
    <col min="1" max="1" width="24" customWidth="1"/>
    <col min="2" max="10" width="14" customWidth="1"/>
  </cols>
  <sheetData>
    <row r="1" spans="1:10" ht="33.9" customHeight="1" x14ac:dyDescent="0.5">
      <c r="A1" s="17" t="s">
        <v>68</v>
      </c>
      <c r="B1" s="15"/>
      <c r="C1" s="15"/>
      <c r="D1" s="15"/>
      <c r="E1" s="15"/>
      <c r="F1" s="15"/>
      <c r="G1" s="15"/>
      <c r="H1" s="15"/>
      <c r="I1" s="15"/>
      <c r="J1" s="15"/>
    </row>
    <row r="3" spans="1:10" ht="39.9" customHeight="1" x14ac:dyDescent="0.3">
      <c r="A3" s="13" t="s">
        <v>69</v>
      </c>
      <c r="B3" s="28" t="s">
        <v>70</v>
      </c>
      <c r="C3" s="19"/>
      <c r="D3" s="19"/>
      <c r="E3" s="19"/>
      <c r="F3" s="19"/>
      <c r="G3" s="19"/>
      <c r="H3" s="19"/>
      <c r="I3" s="19"/>
      <c r="J3" s="19"/>
    </row>
    <row r="4" spans="1:10" ht="39.9" customHeight="1" x14ac:dyDescent="0.3">
      <c r="A4" s="13" t="s">
        <v>71</v>
      </c>
      <c r="B4" s="28" t="s">
        <v>72</v>
      </c>
      <c r="C4" s="19"/>
      <c r="D4" s="19"/>
      <c r="E4" s="19"/>
      <c r="F4" s="19"/>
      <c r="G4" s="19"/>
      <c r="H4" s="19"/>
      <c r="I4" s="19"/>
      <c r="J4" s="19"/>
    </row>
    <row r="5" spans="1:10" ht="39.9" customHeight="1" x14ac:dyDescent="0.3">
      <c r="A5" s="13" t="s">
        <v>73</v>
      </c>
      <c r="B5" s="28" t="s">
        <v>74</v>
      </c>
      <c r="C5" s="19"/>
      <c r="D5" s="19"/>
      <c r="E5" s="19"/>
      <c r="F5" s="19"/>
      <c r="G5" s="19"/>
      <c r="H5" s="19"/>
      <c r="I5" s="19"/>
      <c r="J5" s="19"/>
    </row>
    <row r="6" spans="1:10" ht="39.9" customHeight="1" x14ac:dyDescent="0.3">
      <c r="A6" s="13" t="s">
        <v>75</v>
      </c>
      <c r="B6" s="28" t="s">
        <v>76</v>
      </c>
      <c r="C6" s="19"/>
      <c r="D6" s="19"/>
      <c r="E6" s="19"/>
      <c r="F6" s="19"/>
      <c r="G6" s="19"/>
      <c r="H6" s="19"/>
      <c r="I6" s="19"/>
      <c r="J6" s="19"/>
    </row>
    <row r="7" spans="1:10" ht="39.9" customHeight="1" x14ac:dyDescent="0.3">
      <c r="A7" s="13" t="s">
        <v>77</v>
      </c>
      <c r="B7" s="28" t="s">
        <v>78</v>
      </c>
      <c r="C7" s="19"/>
      <c r="D7" s="19"/>
      <c r="E7" s="19"/>
      <c r="F7" s="19"/>
      <c r="G7" s="19"/>
      <c r="H7" s="19"/>
      <c r="I7" s="19"/>
      <c r="J7" s="19"/>
    </row>
    <row r="8" spans="1:10" ht="39.9" customHeight="1" x14ac:dyDescent="0.3">
      <c r="A8" s="13" t="s">
        <v>79</v>
      </c>
      <c r="B8" s="28" t="s">
        <v>80</v>
      </c>
      <c r="C8" s="19"/>
      <c r="D8" s="19"/>
      <c r="E8" s="19"/>
      <c r="F8" s="19"/>
      <c r="G8" s="19"/>
      <c r="H8" s="19"/>
      <c r="I8" s="19"/>
      <c r="J8" s="19"/>
    </row>
    <row r="9" spans="1:10" ht="39.9" customHeight="1" x14ac:dyDescent="0.3">
      <c r="A9" s="13" t="s">
        <v>81</v>
      </c>
      <c r="B9" s="28" t="s">
        <v>82</v>
      </c>
      <c r="C9" s="19"/>
      <c r="D9" s="19"/>
      <c r="E9" s="19"/>
      <c r="F9" s="19"/>
      <c r="G9" s="19"/>
      <c r="H9" s="19"/>
      <c r="I9" s="19"/>
      <c r="J9" s="19"/>
    </row>
    <row r="10" spans="1:10" ht="39.9" customHeight="1" x14ac:dyDescent="0.3">
      <c r="A10" s="13" t="s">
        <v>83</v>
      </c>
      <c r="B10" s="28" t="s">
        <v>84</v>
      </c>
      <c r="C10" s="19"/>
      <c r="D10" s="19"/>
      <c r="E10" s="19"/>
      <c r="F10" s="19"/>
      <c r="G10" s="19"/>
      <c r="H10" s="19"/>
      <c r="I10" s="19"/>
      <c r="J10" s="19"/>
    </row>
    <row r="11" spans="1:10" ht="39.9" customHeight="1" x14ac:dyDescent="0.3">
      <c r="A11" s="13" t="s">
        <v>85</v>
      </c>
      <c r="B11" s="28" t="s">
        <v>86</v>
      </c>
      <c r="C11" s="19"/>
      <c r="D11" s="19"/>
      <c r="E11" s="19"/>
      <c r="F11" s="19"/>
      <c r="G11" s="19"/>
      <c r="H11" s="19"/>
      <c r="I11" s="19"/>
      <c r="J11" s="19"/>
    </row>
    <row r="12" spans="1:10" ht="39.9" customHeight="1" x14ac:dyDescent="0.3">
      <c r="A12" s="13" t="s">
        <v>87</v>
      </c>
      <c r="B12" s="28" t="s">
        <v>88</v>
      </c>
      <c r="C12" s="19"/>
      <c r="D12" s="19"/>
      <c r="E12" s="19"/>
      <c r="F12" s="19"/>
      <c r="G12" s="19"/>
      <c r="H12" s="19"/>
      <c r="I12" s="19"/>
      <c r="J12" s="19"/>
    </row>
  </sheetData>
  <mergeCells count="11">
    <mergeCell ref="B12:J12"/>
    <mergeCell ref="B6:J6"/>
    <mergeCell ref="B7:J7"/>
    <mergeCell ref="A1:J1"/>
    <mergeCell ref="B11:J11"/>
    <mergeCell ref="B3:J3"/>
    <mergeCell ref="B5:J5"/>
    <mergeCell ref="B10:J10"/>
    <mergeCell ref="B9:J9"/>
    <mergeCell ref="B8:J8"/>
    <mergeCell ref="B4:J4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Sample Data</vt:lpstr>
      <vt:lpstr>Analysis</vt:lpstr>
      <vt:lpstr>Charts</vt:lpstr>
      <vt:lpstr>Project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HARII KS</cp:lastModifiedBy>
  <dcterms:created xsi:type="dcterms:W3CDTF">2026-09-11T13:52:59Z</dcterms:created>
  <dcterms:modified xsi:type="dcterms:W3CDTF">2026-09-11T14:11:18Z</dcterms:modified>
</cp:coreProperties>
</file>